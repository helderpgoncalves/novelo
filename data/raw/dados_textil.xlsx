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55b9fa6cd88389/Vitrus/Gestão de têxtil/"/>
    </mc:Choice>
  </mc:AlternateContent>
  <xr:revisionPtr revIDLastSave="104" documentId="8_{9C873FAF-E74C-594B-ACB5-9AB1A0D284FB}" xr6:coauthVersionLast="47" xr6:coauthVersionMax="47" xr10:uidLastSave="{D3DA1DAF-12A6-454A-BFA8-C909372BB844}"/>
  <bookViews>
    <workbookView xWindow="0" yWindow="660" windowWidth="30240" windowHeight="17760" xr2:uid="{6F534E08-E3C9-3E4B-A7A9-EA698FA18B53}"/>
  </bookViews>
  <sheets>
    <sheet name="RSU" sheetId="1" r:id="rId1"/>
    <sheet name="têxt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2" l="1"/>
  <c r="E9" i="2" s="1"/>
  <c r="D8" i="2"/>
  <c r="D9" i="2" s="1"/>
  <c r="C8" i="2"/>
  <c r="C9" i="2" s="1"/>
  <c r="B8" i="2"/>
  <c r="B9" i="2" s="1"/>
</calcChain>
</file>

<file path=xl/sharedStrings.xml><?xml version="1.0" encoding="utf-8"?>
<sst xmlns="http://schemas.openxmlformats.org/spreadsheetml/2006/main" count="52" uniqueCount="43">
  <si>
    <t>Dados sobre resíduos</t>
  </si>
  <si>
    <t>Fonte</t>
  </si>
  <si>
    <t>EEA</t>
  </si>
  <si>
    <t>https://www.eea.europa.eu/en/topics/in-depth/waste-and-recycling?activeTab=fa515f0c-9ab0-493c-b4cd-58a32dfaae0a</t>
  </si>
  <si>
    <t>5 ton</t>
  </si>
  <si>
    <t>Produção de resíduos por ano por um habitante europeu</t>
  </si>
  <si>
    <t>Resíduos reciclados na EU</t>
  </si>
  <si>
    <t>De 2010 a 2020 a quantidade de resíduos enviados para aterro diminuiram. Mas a quantidade de resíduos produzidos aumentaram muito</t>
  </si>
  <si>
    <t>Em 2024, foram produzidas 5,27 milhões de toneladas de resíduos urbanos (RU) em Portugal continental, o que corresponde a uma capitação anual de 517 kg/(hab.ano),</t>
  </si>
  <si>
    <t>Portugal</t>
  </si>
  <si>
    <t>Em termos de destino final dos resíduos, a deposição em aterro mantém-se ainda elevada, representando, em 2024, 54% do destino final dos RU produzidos em Portugal continental.</t>
  </si>
  <si>
    <t>Biorrsesíduos</t>
  </si>
  <si>
    <t>Plástico</t>
  </si>
  <si>
    <t>Vidro</t>
  </si>
  <si>
    <t>Indiferenciados</t>
  </si>
  <si>
    <t>Madeira</t>
  </si>
  <si>
    <t>Metais</t>
  </si>
  <si>
    <t>outros</t>
  </si>
  <si>
    <t>Papel</t>
  </si>
  <si>
    <t xml:space="preserve">Composição dos RSU </t>
  </si>
  <si>
    <t>Europa</t>
  </si>
  <si>
    <t>Têxteis</t>
  </si>
  <si>
    <t>Têxteis Sanitários</t>
  </si>
  <si>
    <t>Compositos</t>
  </si>
  <si>
    <t>Volumosos</t>
  </si>
  <si>
    <t>PT</t>
  </si>
  <si>
    <t>Destinos dos têxteis recolhidos, por entidade — baseline 2025 (t)</t>
  </si>
  <si>
    <t>Entidade</t>
  </si>
  <si>
    <t>Total
recolhido (t)</t>
  </si>
  <si>
    <t>Reutilização /
Doação (t)</t>
  </si>
  <si>
    <t>Reciclagem
(t)</t>
  </si>
  <si>
    <t>Aterro / Destruição /
Rejeito (t)</t>
  </si>
  <si>
    <t>H Sarah Trading</t>
  </si>
  <si>
    <t>Ficheiro 'Sarah Trading Destinos' (kg exatos por mês e por destino).</t>
  </si>
  <si>
    <t>Nova Etapa</t>
  </si>
  <si>
    <t>Percentagens do relatório 'nova etapa Recolha Têxtil' (Reutilização 50%, Reciclagem 40%, Aterro 10%) aplicadas ao total pesado (RU_2025).</t>
  </si>
  <si>
    <t>Ultriplo</t>
  </si>
  <si>
    <t>Relatório operacional Ultriplo 2025 (kg exatos por destino: Reutilização, Reciclagem, Aterro).</t>
  </si>
  <si>
    <t>Vitrus</t>
  </si>
  <si>
    <t>Percentagens do relatório 'To Be Green' (DOAR 9,16% ; outros lotes de reciclagem 33,96% ; LIXO+DESPERDÍCIOS 56,88%) aplicadas ao total pesado (RU_2025).</t>
  </si>
  <si>
    <t>TOTAL SISTEMA</t>
  </si>
  <si>
    <t>% do total</t>
  </si>
  <si>
    <t>Dados 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</si>
</sst>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2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3" fillId="2" borderId="0" xfId="2" applyFont="1" applyFill="1" applyAlignment="1">
      <alignment vertical="center"/>
    </xf>
    <xf numFmtId="0" fontId="2" fillId="0" borderId="0" xfId="2"/>
    <xf numFmtId="0" fontId="2" fillId="0" borderId="0" xfId="2"/>
    <xf numFmtId="0" fontId="4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top" wrapText="1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" xfId="2" applyFont="1" applyBorder="1" applyAlignment="1">
      <alignment horizontal="left" vertical="top" wrapText="1"/>
    </xf>
    <xf numFmtId="0" fontId="4" fillId="3" borderId="1" xfId="2" applyFont="1" applyFill="1" applyBorder="1" applyAlignment="1">
      <alignment horizontal="left" vertical="top" wrapText="1"/>
    </xf>
    <xf numFmtId="4" fontId="4" fillId="3" borderId="1" xfId="2" applyNumberFormat="1" applyFont="1" applyFill="1" applyBorder="1"/>
    <xf numFmtId="0" fontId="2" fillId="3" borderId="1" xfId="2" applyFill="1" applyBorder="1"/>
    <xf numFmtId="164" fontId="6" fillId="0" borderId="1" xfId="2" applyNumberFormat="1" applyFont="1" applyBorder="1" applyAlignment="1">
      <alignment horizontal="right"/>
    </xf>
    <xf numFmtId="0" fontId="2" fillId="0" borderId="1" xfId="2" applyBorder="1"/>
  </cellXfs>
  <cellStyles count="3">
    <cellStyle name="Normal" xfId="0" builtinId="0"/>
    <cellStyle name="Normal 2" xfId="2" xr:uid="{DB5B0D2D-71FE-9944-A5D5-0AA166235DA4}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03-9240-96AF-B5B705B17E1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03-9240-96AF-B5B705B17E1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03-9240-96AF-B5B705B17E1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E03-9240-96AF-B5B705B17E10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03-9240-96AF-B5B705B17E10}"/>
              </c:ext>
            </c:extLst>
          </c:dPt>
          <c:dPt>
            <c:idx val="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E03-9240-96AF-B5B705B17E10}"/>
              </c:ext>
            </c:extLst>
          </c:dPt>
          <c:dPt>
            <c:idx val="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03-9240-96AF-B5B705B17E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07-7249-9514-EA51BCCF63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RSU!$L$3:$L$10</c:f>
              <c:strCache>
                <c:ptCount val="8"/>
                <c:pt idx="0">
                  <c:v>Biorrsesíduos</c:v>
                </c:pt>
                <c:pt idx="1">
                  <c:v>Indiferenciados</c:v>
                </c:pt>
                <c:pt idx="2">
                  <c:v>Papel</c:v>
                </c:pt>
                <c:pt idx="3">
                  <c:v>Plástico</c:v>
                </c:pt>
                <c:pt idx="4">
                  <c:v>Vidro</c:v>
                </c:pt>
                <c:pt idx="5">
                  <c:v>Madeira</c:v>
                </c:pt>
                <c:pt idx="6">
                  <c:v>Metais</c:v>
                </c:pt>
                <c:pt idx="7">
                  <c:v>outros</c:v>
                </c:pt>
              </c:strCache>
            </c:strRef>
          </c:cat>
          <c:val>
            <c:numRef>
              <c:f>RSU!$M$3:$M$10</c:f>
              <c:numCache>
                <c:formatCode>0.00</c:formatCode>
                <c:ptCount val="8"/>
                <c:pt idx="0">
                  <c:v>28.8</c:v>
                </c:pt>
                <c:pt idx="1">
                  <c:v>20.3</c:v>
                </c:pt>
                <c:pt idx="2">
                  <c:v>14</c:v>
                </c:pt>
                <c:pt idx="3">
                  <c:v>7.5</c:v>
                </c:pt>
                <c:pt idx="4">
                  <c:v>6.3</c:v>
                </c:pt>
                <c:pt idx="5">
                  <c:v>3.4</c:v>
                </c:pt>
                <c:pt idx="6">
                  <c:v>3</c:v>
                </c:pt>
                <c:pt idx="7">
                  <c:v>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3-9240-96AF-B5B705B17E1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C-F44D-927B-A55ABA8982E8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C-F44D-927B-A55ABA8982E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9C-F44D-927B-A55ABA8982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DC-0246-A0C8-4ED251831A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DC-0246-A0C8-4ED251831A03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C-F44D-927B-A55ABA8982E8}"/>
              </c:ext>
            </c:extLst>
          </c:dPt>
          <c:dPt>
            <c:idx val="6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9C-F44D-927B-A55ABA8982E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DC-0246-A0C8-4ED251831A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DC-0246-A0C8-4ED251831A03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C-F44D-927B-A55ABA8982E8}"/>
              </c:ext>
            </c:extLst>
          </c:dPt>
          <c:dPt>
            <c:idx val="1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C-F44D-927B-A55ABA8982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RSU!$L$14:$L$24</c:f>
              <c:strCache>
                <c:ptCount val="11"/>
                <c:pt idx="0">
                  <c:v>Biorrsesíduos</c:v>
                </c:pt>
                <c:pt idx="1">
                  <c:v>Papel</c:v>
                </c:pt>
                <c:pt idx="2">
                  <c:v>Plástico</c:v>
                </c:pt>
                <c:pt idx="3">
                  <c:v>Vidro</c:v>
                </c:pt>
                <c:pt idx="4">
                  <c:v>Compositos</c:v>
                </c:pt>
                <c:pt idx="5">
                  <c:v>Têxteis</c:v>
                </c:pt>
                <c:pt idx="6">
                  <c:v>Têxteis Sanitários</c:v>
                </c:pt>
                <c:pt idx="7">
                  <c:v>Metais</c:v>
                </c:pt>
                <c:pt idx="8">
                  <c:v>Madeira</c:v>
                </c:pt>
                <c:pt idx="9">
                  <c:v>outros</c:v>
                </c:pt>
                <c:pt idx="10">
                  <c:v>Volumosos</c:v>
                </c:pt>
              </c:strCache>
            </c:strRef>
          </c:cat>
          <c:val>
            <c:numRef>
              <c:f>RSU!$M$14:$M$24</c:f>
              <c:numCache>
                <c:formatCode>0.00</c:formatCode>
                <c:ptCount val="11"/>
                <c:pt idx="0">
                  <c:v>38</c:v>
                </c:pt>
                <c:pt idx="1">
                  <c:v>8.8000000000000007</c:v>
                </c:pt>
                <c:pt idx="2">
                  <c:v>10.5</c:v>
                </c:pt>
                <c:pt idx="3">
                  <c:v>6.7</c:v>
                </c:pt>
                <c:pt idx="4">
                  <c:v>2.8</c:v>
                </c:pt>
                <c:pt idx="5">
                  <c:v>4.55</c:v>
                </c:pt>
                <c:pt idx="6">
                  <c:v>9.1</c:v>
                </c:pt>
                <c:pt idx="7">
                  <c:v>1.4</c:v>
                </c:pt>
                <c:pt idx="8">
                  <c:v>1.35</c:v>
                </c:pt>
                <c:pt idx="9">
                  <c:v>12.1</c:v>
                </c:pt>
                <c:pt idx="10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C-F44D-927B-A55ABA8982E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783590</xdr:colOff>
      <xdr:row>0</xdr:row>
      <xdr:rowOff>97790</xdr:rowOff>
    </xdr:from>
    <xdr:to>
      <xdr:col>19</xdr:col>
      <xdr:colOff>402590</xdr:colOff>
      <xdr:row>12</xdr:row>
      <xdr:rowOff>199390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AC0701-234B-259D-7B0C-039D2165E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15</xdr:row>
      <xdr:rowOff>133350</xdr:rowOff>
    </xdr:from>
    <xdr:to>
      <xdr:col>19</xdr:col>
      <xdr:colOff>463550</xdr:colOff>
      <xdr:row>29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000569-F088-B31A-2198-8E347D6B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D5FD-6D2F-5346-AE60-12606630D96A}">
  <dimension ref="A1:Q24"/>
  <sheetViews>
    <sheetView tabSelected="1" topLeftCell="F1" zoomScale="125" workbookViewId="0">
      <selection activeCell="V17" sqref="V17"/>
    </sheetView>
  </sheetViews>
  <sheetFormatPr baseColWidth="10" defaultRowHeight="16" x14ac:dyDescent="0.2"/>
  <cols>
    <col min="1" max="1" width="10.5" customWidth="1"/>
    <col min="4" max="4" width="2.1640625" customWidth="1"/>
    <col min="10" max="10" width="3" customWidth="1"/>
  </cols>
  <sheetData>
    <row r="1" spans="1:17" x14ac:dyDescent="0.2">
      <c r="A1" s="4" t="s">
        <v>0</v>
      </c>
      <c r="B1" s="4"/>
      <c r="E1" t="s">
        <v>9</v>
      </c>
      <c r="L1" t="s">
        <v>19</v>
      </c>
    </row>
    <row r="2" spans="1:17" x14ac:dyDescent="0.2">
      <c r="M2" t="s">
        <v>20</v>
      </c>
    </row>
    <row r="3" spans="1:17" ht="32" customHeight="1" x14ac:dyDescent="0.2">
      <c r="A3" s="3" t="s">
        <v>5</v>
      </c>
      <c r="B3" s="3"/>
      <c r="F3" s="3" t="s">
        <v>8</v>
      </c>
      <c r="G3" s="3"/>
      <c r="H3" s="3"/>
      <c r="I3" s="3"/>
      <c r="L3" t="s">
        <v>11</v>
      </c>
      <c r="M3" s="2">
        <v>28.8</v>
      </c>
    </row>
    <row r="4" spans="1:17" x14ac:dyDescent="0.2">
      <c r="A4" s="4" t="s">
        <v>4</v>
      </c>
      <c r="B4" s="4"/>
      <c r="E4" s="1"/>
      <c r="F4" s="3"/>
      <c r="G4" s="3"/>
      <c r="H4" s="3"/>
      <c r="I4" s="3"/>
      <c r="L4" t="s">
        <v>14</v>
      </c>
      <c r="M4" s="2">
        <v>20.3</v>
      </c>
    </row>
    <row r="5" spans="1:17" x14ac:dyDescent="0.2">
      <c r="A5" s="4" t="s">
        <v>6</v>
      </c>
      <c r="B5" s="4"/>
      <c r="E5" s="1"/>
      <c r="F5" s="3"/>
      <c r="G5" s="3"/>
      <c r="H5" s="3"/>
      <c r="I5" s="3"/>
      <c r="L5" t="s">
        <v>18</v>
      </c>
      <c r="M5" s="2">
        <v>14</v>
      </c>
    </row>
    <row r="6" spans="1:17" x14ac:dyDescent="0.2">
      <c r="A6" s="5">
        <v>0.40799999999999997</v>
      </c>
      <c r="B6" s="4"/>
      <c r="L6" t="s">
        <v>12</v>
      </c>
      <c r="M6" s="2">
        <v>7.5</v>
      </c>
    </row>
    <row r="7" spans="1:17" ht="16" customHeight="1" x14ac:dyDescent="0.2">
      <c r="A7" s="6" t="s">
        <v>7</v>
      </c>
      <c r="B7" s="6"/>
      <c r="C7" s="6"/>
      <c r="F7" s="3" t="s">
        <v>10</v>
      </c>
      <c r="G7" s="3"/>
      <c r="H7" s="3"/>
      <c r="I7" s="3"/>
      <c r="L7" t="s">
        <v>13</v>
      </c>
      <c r="M7" s="2">
        <v>6.3</v>
      </c>
    </row>
    <row r="8" spans="1:17" x14ac:dyDescent="0.2">
      <c r="A8" s="6"/>
      <c r="B8" s="6"/>
      <c r="C8" s="6"/>
      <c r="F8" s="3"/>
      <c r="G8" s="3"/>
      <c r="H8" s="3"/>
      <c r="I8" s="3"/>
      <c r="L8" t="s">
        <v>15</v>
      </c>
      <c r="M8" s="2">
        <v>3.4</v>
      </c>
    </row>
    <row r="9" spans="1:17" x14ac:dyDescent="0.2">
      <c r="A9" s="6"/>
      <c r="B9" s="6"/>
      <c r="C9" s="6"/>
      <c r="F9" s="3"/>
      <c r="G9" s="3"/>
      <c r="H9" s="3"/>
      <c r="I9" s="3"/>
      <c r="L9" t="s">
        <v>16</v>
      </c>
      <c r="M9" s="2">
        <v>3</v>
      </c>
    </row>
    <row r="10" spans="1:17" x14ac:dyDescent="0.2">
      <c r="A10" s="6"/>
      <c r="B10" s="6"/>
      <c r="C10" s="6"/>
      <c r="F10" s="3"/>
      <c r="G10" s="3"/>
      <c r="H10" s="3"/>
      <c r="I10" s="3"/>
      <c r="L10" t="s">
        <v>17</v>
      </c>
      <c r="M10" s="2">
        <v>14.5</v>
      </c>
    </row>
    <row r="11" spans="1:17" x14ac:dyDescent="0.2">
      <c r="A11" s="6"/>
      <c r="B11" s="6"/>
      <c r="C11" s="6"/>
      <c r="F11" s="3"/>
      <c r="G11" s="3"/>
      <c r="H11" s="3"/>
      <c r="I11" s="3"/>
      <c r="M11" s="2"/>
    </row>
    <row r="12" spans="1:17" x14ac:dyDescent="0.2">
      <c r="A12" t="s">
        <v>1</v>
      </c>
      <c r="M12" s="2"/>
    </row>
    <row r="13" spans="1:17" x14ac:dyDescent="0.2">
      <c r="A13" t="s">
        <v>3</v>
      </c>
      <c r="B13" t="s">
        <v>2</v>
      </c>
      <c r="M13" s="2" t="s">
        <v>25</v>
      </c>
    </row>
    <row r="14" spans="1:17" x14ac:dyDescent="0.2">
      <c r="L14" t="s">
        <v>11</v>
      </c>
      <c r="M14" s="2">
        <v>38</v>
      </c>
    </row>
    <row r="15" spans="1:17" x14ac:dyDescent="0.2">
      <c r="L15" t="s">
        <v>18</v>
      </c>
      <c r="M15" s="2">
        <v>8.8000000000000007</v>
      </c>
      <c r="Q15" t="s">
        <v>25</v>
      </c>
    </row>
    <row r="16" spans="1:17" x14ac:dyDescent="0.2">
      <c r="L16" t="s">
        <v>12</v>
      </c>
      <c r="M16" s="2">
        <v>10.5</v>
      </c>
    </row>
    <row r="17" spans="12:13" x14ac:dyDescent="0.2">
      <c r="L17" t="s">
        <v>13</v>
      </c>
      <c r="M17" s="2">
        <v>6.7</v>
      </c>
    </row>
    <row r="18" spans="12:13" x14ac:dyDescent="0.2">
      <c r="L18" t="s">
        <v>23</v>
      </c>
      <c r="M18" s="2">
        <v>2.8</v>
      </c>
    </row>
    <row r="19" spans="12:13" x14ac:dyDescent="0.2">
      <c r="L19" t="s">
        <v>21</v>
      </c>
      <c r="M19" s="2">
        <v>4.55</v>
      </c>
    </row>
    <row r="20" spans="12:13" x14ac:dyDescent="0.2">
      <c r="L20" t="s">
        <v>22</v>
      </c>
      <c r="M20" s="2">
        <v>9.1</v>
      </c>
    </row>
    <row r="21" spans="12:13" x14ac:dyDescent="0.2">
      <c r="L21" t="s">
        <v>16</v>
      </c>
      <c r="M21" s="2">
        <v>1.4</v>
      </c>
    </row>
    <row r="22" spans="12:13" x14ac:dyDescent="0.2">
      <c r="L22" t="s">
        <v>15</v>
      </c>
      <c r="M22" s="2">
        <v>1.35</v>
      </c>
    </row>
    <row r="23" spans="12:13" x14ac:dyDescent="0.2">
      <c r="L23" t="s">
        <v>17</v>
      </c>
      <c r="M23" s="2">
        <v>12.1</v>
      </c>
    </row>
    <row r="24" spans="12:13" x14ac:dyDescent="0.2">
      <c r="L24" t="s">
        <v>24</v>
      </c>
      <c r="M24" s="2">
        <v>3.91</v>
      </c>
    </row>
  </sheetData>
  <mergeCells count="8">
    <mergeCell ref="F3:I5"/>
    <mergeCell ref="F7:I11"/>
    <mergeCell ref="A1:B1"/>
    <mergeCell ref="A3:B3"/>
    <mergeCell ref="A4:B4"/>
    <mergeCell ref="A5:B5"/>
    <mergeCell ref="A6:B6"/>
    <mergeCell ref="A7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A692-038D-0341-917D-03F8B421A7F9}">
  <dimension ref="A1:G9"/>
  <sheetViews>
    <sheetView workbookViewId="0">
      <selection activeCell="G2" sqref="G2"/>
    </sheetView>
  </sheetViews>
  <sheetFormatPr baseColWidth="10" defaultRowHeight="16" x14ac:dyDescent="0.2"/>
  <sheetData>
    <row r="1" spans="1:7" ht="17" x14ac:dyDescent="0.2">
      <c r="A1" s="7" t="s">
        <v>26</v>
      </c>
      <c r="B1" s="8"/>
      <c r="C1" s="8"/>
      <c r="D1" s="8"/>
      <c r="E1" s="8"/>
      <c r="F1" s="8"/>
      <c r="G1" t="s">
        <v>42</v>
      </c>
    </row>
    <row r="2" spans="1:7" x14ac:dyDescent="0.2">
      <c r="A2" s="9"/>
      <c r="B2" s="9"/>
      <c r="C2" s="9"/>
      <c r="D2" s="9"/>
      <c r="E2" s="9"/>
      <c r="F2" s="9"/>
    </row>
    <row r="3" spans="1:7" ht="56" x14ac:dyDescent="0.2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1</v>
      </c>
    </row>
    <row r="4" spans="1:7" ht="98" x14ac:dyDescent="0.2">
      <c r="A4" s="11" t="s">
        <v>32</v>
      </c>
      <c r="B4" s="12">
        <v>118.63200000000001</v>
      </c>
      <c r="C4" s="12">
        <v>59.316000000000003</v>
      </c>
      <c r="D4" s="12">
        <v>43.893839999999997</v>
      </c>
      <c r="E4" s="12">
        <v>15.42216</v>
      </c>
      <c r="F4" s="13" t="s">
        <v>33</v>
      </c>
    </row>
    <row r="5" spans="1:7" ht="210" x14ac:dyDescent="0.2">
      <c r="A5" s="11" t="s">
        <v>34</v>
      </c>
      <c r="B5" s="12">
        <v>42.883000000000003</v>
      </c>
      <c r="C5" s="12">
        <v>21.441500000000001</v>
      </c>
      <c r="D5" s="12">
        <v>17.153199999999998</v>
      </c>
      <c r="E5" s="12">
        <v>4.2882999999999996</v>
      </c>
      <c r="F5" s="13" t="s">
        <v>35</v>
      </c>
    </row>
    <row r="6" spans="1:7" ht="126" x14ac:dyDescent="0.2">
      <c r="A6" s="11" t="s">
        <v>36</v>
      </c>
      <c r="B6" s="12">
        <v>134.1301</v>
      </c>
      <c r="C6" s="12">
        <v>97.722300000000004</v>
      </c>
      <c r="D6" s="12">
        <v>16.977499999999999</v>
      </c>
      <c r="E6" s="12">
        <v>19.430299999999999</v>
      </c>
      <c r="F6" s="13" t="s">
        <v>37</v>
      </c>
    </row>
    <row r="7" spans="1:7" ht="238" x14ac:dyDescent="0.2">
      <c r="A7" s="11" t="s">
        <v>38</v>
      </c>
      <c r="B7" s="12">
        <v>5.62</v>
      </c>
      <c r="C7" s="12">
        <v>0.51500000000000001</v>
      </c>
      <c r="D7" s="12">
        <v>1.909</v>
      </c>
      <c r="E7" s="12">
        <v>3.1970000000000001</v>
      </c>
      <c r="F7" s="13" t="s">
        <v>39</v>
      </c>
    </row>
    <row r="8" spans="1:7" ht="28" x14ac:dyDescent="0.2">
      <c r="A8" s="14" t="s">
        <v>40</v>
      </c>
      <c r="B8" s="15">
        <f>SUM(B4:B7)</f>
        <v>301.26510000000002</v>
      </c>
      <c r="C8" s="15">
        <f>SUM(C4:C7)</f>
        <v>178.9948</v>
      </c>
      <c r="D8" s="15">
        <f>SUM(D4:D7)</f>
        <v>79.933540000000008</v>
      </c>
      <c r="E8" s="15">
        <f>SUM(E4:E7)</f>
        <v>42.337760000000003</v>
      </c>
      <c r="F8" s="16"/>
    </row>
    <row r="9" spans="1:7" x14ac:dyDescent="0.2">
      <c r="A9" s="11" t="s">
        <v>41</v>
      </c>
      <c r="B9" s="17">
        <f>IFERROR(B8/$B$8,0)</f>
        <v>1</v>
      </c>
      <c r="C9" s="17">
        <f>IFERROR(C8/$B$8,0)</f>
        <v>0.59414382880725314</v>
      </c>
      <c r="D9" s="17">
        <f>IFERROR(D8/$B$8,0)</f>
        <v>0.26532625252642938</v>
      </c>
      <c r="E9" s="17">
        <f>IFERROR(E8/$B$8,0)</f>
        <v>0.14053323800201217</v>
      </c>
      <c r="F9" s="18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RSU</vt:lpstr>
      <vt:lpstr>têxtil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Nascimento</dc:creator>
  <cp:lastModifiedBy>Lucas Nascimento</cp:lastModifiedBy>
  <dcterms:created xsi:type="dcterms:W3CDTF">2026-10-06T21:14:30Z</dcterms:created>
  <dcterms:modified xsi:type="dcterms:W3CDTF">2026-10-19T09:32:53Z</dcterms:modified>
</cp:coreProperties>
</file>