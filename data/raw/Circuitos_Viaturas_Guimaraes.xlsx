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https://d.docs.live.net/9455b9fa6cd88389/Vitrus/IDEATHON2026/"/>
    </mc:Choice>
  </mc:AlternateContent>
  <xr:revisionPtr revIDLastSave="23" documentId="13_ncr:1_{DB22B667-52D9-494B-BD11-1273C71AF91F}" xr6:coauthVersionLast="47" xr6:coauthVersionMax="47" xr10:uidLastSave="{56F5834B-17EB-3942-83DC-F75A64A905EB}"/>
  <bookViews>
    <workbookView xWindow="0" yWindow="660" windowWidth="30240" windowHeight="17760" tabRatio="500" activeTab="8" xr2:uid="{00000000-000D-0000-FFFF-FFFF00000000}"/>
  </bookViews>
  <sheets>
    <sheet name="Resumo" sheetId="2" r:id="rId1"/>
    <sheet name="Orgânicos" sheetId="3" r:id="rId2"/>
    <sheet name="Indiferenciados" sheetId="4" r:id="rId3"/>
    <sheet name="Recicláveis" sheetId="5" r:id="rId4"/>
    <sheet name="Volumosos" sheetId="6" r:id="rId5"/>
    <sheet name="Outros serviços" sheetId="7" r:id="rId6"/>
    <sheet name="Viaturas" sheetId="8" r:id="rId7"/>
    <sheet name="Alertas" sheetId="9" r:id="rId8"/>
    <sheet name="Base_Dados" sheetId="10" r:id="rId9"/>
  </sheets>
  <definedNames>
    <definedName name="_xlnm._FilterDatabase" localSheetId="2" hidden="1">Indiferenciados!$A$4:$O$28</definedName>
    <definedName name="_xlnm._FilterDatabase" localSheetId="1" hidden="1">Orgânicos!$A$4:$O$11</definedName>
    <definedName name="_xlnm._FilterDatabase" localSheetId="5" hidden="1">'Outros serviços'!$A$4:$O$10</definedName>
    <definedName name="_xlnm._FilterDatabase" localSheetId="3" hidden="1">Recicláveis!$A$4:$O$7</definedName>
    <definedName name="_xlnm._FilterDatabase" localSheetId="6" hidden="1">Viaturas!$A$4:$I$33</definedName>
    <definedName name="_xlnm._FilterDatabase" localSheetId="4" hidden="1">Volumosos!$A$4:$O$5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33" i="8" l="1"/>
  <c r="G33" i="8"/>
  <c r="F33" i="8" a="1"/>
  <c r="F33" i="8" s="1"/>
  <c r="E33" i="8" a="1"/>
  <c r="E33" i="8" s="1"/>
  <c r="D33" i="8" a="1"/>
  <c r="D33" i="8" s="1"/>
  <c r="C33" i="8" a="1"/>
  <c r="C33" i="8" s="1"/>
  <c r="B33" i="8" a="1"/>
  <c r="B33" i="8" s="1"/>
  <c r="H32" i="8"/>
  <c r="G32" i="8"/>
  <c r="F32" i="8" a="1"/>
  <c r="F32" i="8" s="1"/>
  <c r="E32" i="8" a="1"/>
  <c r="E32" i="8" s="1"/>
  <c r="D32" i="8" a="1"/>
  <c r="D32" i="8" s="1"/>
  <c r="C32" i="8" a="1"/>
  <c r="C32" i="8" s="1"/>
  <c r="B32" i="8" a="1"/>
  <c r="B32" i="8" s="1"/>
  <c r="H31" i="8"/>
  <c r="G31" i="8"/>
  <c r="F31" i="8" a="1"/>
  <c r="F31" i="8" s="1"/>
  <c r="E31" i="8" a="1"/>
  <c r="E31" i="8" s="1"/>
  <c r="D31" i="8" a="1"/>
  <c r="D31" i="8" s="1"/>
  <c r="C31" i="8" a="1"/>
  <c r="C31" i="8" s="1"/>
  <c r="B31" i="8" a="1"/>
  <c r="B31" i="8" s="1"/>
  <c r="H30" i="8"/>
  <c r="G30" i="8"/>
  <c r="F30" i="8" a="1"/>
  <c r="F30" i="8" s="1"/>
  <c r="E30" i="8" a="1"/>
  <c r="E30" i="8" s="1"/>
  <c r="D30" i="8" a="1"/>
  <c r="D30" i="8" s="1"/>
  <c r="C30" i="8" a="1"/>
  <c r="C30" i="8" s="1"/>
  <c r="B30" i="8" a="1"/>
  <c r="B30" i="8" s="1"/>
  <c r="H29" i="8"/>
  <c r="G29" i="8"/>
  <c r="F29" i="8" a="1"/>
  <c r="F29" i="8" s="1"/>
  <c r="E29" i="8" a="1"/>
  <c r="E29" i="8" s="1"/>
  <c r="D29" i="8" a="1"/>
  <c r="D29" i="8" s="1"/>
  <c r="C29" i="8" a="1"/>
  <c r="C29" i="8" s="1"/>
  <c r="B29" i="8" a="1"/>
  <c r="B29" i="8" s="1"/>
  <c r="H28" i="8"/>
  <c r="G28" i="8"/>
  <c r="F28" i="8" a="1"/>
  <c r="F28" i="8" s="1"/>
  <c r="E28" i="8" a="1"/>
  <c r="E28" i="8" s="1"/>
  <c r="D28" i="8" a="1"/>
  <c r="D28" i="8" s="1"/>
  <c r="C28" i="8" a="1"/>
  <c r="C28" i="8" s="1"/>
  <c r="B28" i="8" a="1"/>
  <c r="B28" i="8" s="1"/>
  <c r="H27" i="8"/>
  <c r="G27" i="8"/>
  <c r="F27" i="8" a="1"/>
  <c r="F27" i="8" s="1"/>
  <c r="E27" i="8" a="1"/>
  <c r="E27" i="8" s="1"/>
  <c r="D27" i="8" a="1"/>
  <c r="D27" i="8" s="1"/>
  <c r="C27" i="8" a="1"/>
  <c r="C27" i="8" s="1"/>
  <c r="B27" i="8" a="1"/>
  <c r="B27" i="8" s="1"/>
  <c r="H26" i="8"/>
  <c r="G26" i="8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H25" i="8"/>
  <c r="G25" i="8"/>
  <c r="F25" i="8" a="1"/>
  <c r="F25" i="8" s="1"/>
  <c r="E25" i="8" a="1"/>
  <c r="E25" i="8" s="1"/>
  <c r="D25" i="8" a="1"/>
  <c r="D25" i="8" s="1"/>
  <c r="C25" i="8" a="1"/>
  <c r="C25" i="8" s="1"/>
  <c r="B25" i="8" a="1"/>
  <c r="B25" i="8" s="1"/>
  <c r="H24" i="8"/>
  <c r="G24" i="8"/>
  <c r="F24" i="8" a="1"/>
  <c r="F24" i="8" s="1"/>
  <c r="E24" i="8" a="1"/>
  <c r="E24" i="8" s="1"/>
  <c r="D24" i="8" a="1"/>
  <c r="D24" i="8" s="1"/>
  <c r="C24" i="8" a="1"/>
  <c r="C24" i="8" s="1"/>
  <c r="B24" i="8" a="1"/>
  <c r="B24" i="8" s="1"/>
  <c r="H23" i="8"/>
  <c r="G23" i="8"/>
  <c r="F23" i="8" a="1"/>
  <c r="F23" i="8" s="1"/>
  <c r="E23" i="8" a="1"/>
  <c r="E23" i="8" s="1"/>
  <c r="D23" i="8" a="1"/>
  <c r="D23" i="8" s="1"/>
  <c r="C23" i="8" a="1"/>
  <c r="C23" i="8" s="1"/>
  <c r="B23" i="8" a="1"/>
  <c r="B23" i="8" s="1"/>
  <c r="H22" i="8"/>
  <c r="G22" i="8"/>
  <c r="F22" i="8" a="1"/>
  <c r="F22" i="8" s="1"/>
  <c r="E22" i="8" a="1"/>
  <c r="E22" i="8" s="1"/>
  <c r="D22" i="8" a="1"/>
  <c r="D22" i="8" s="1"/>
  <c r="C22" i="8" a="1"/>
  <c r="C22" i="8" s="1"/>
  <c r="B22" i="8" a="1"/>
  <c r="B22" i="8" s="1"/>
  <c r="H21" i="8"/>
  <c r="G21" i="8"/>
  <c r="F21" i="8" a="1"/>
  <c r="F21" i="8" s="1"/>
  <c r="E21" i="8" a="1"/>
  <c r="E21" i="8" s="1"/>
  <c r="D21" i="8" a="1"/>
  <c r="D21" i="8" s="1"/>
  <c r="C21" i="8" a="1"/>
  <c r="C21" i="8" s="1"/>
  <c r="B21" i="8" a="1"/>
  <c r="B21" i="8" s="1"/>
  <c r="H20" i="8"/>
  <c r="G20" i="8"/>
  <c r="F20" i="8" a="1"/>
  <c r="F20" i="8" s="1"/>
  <c r="E20" i="8" a="1"/>
  <c r="E20" i="8" s="1"/>
  <c r="D20" i="8" a="1"/>
  <c r="D20" i="8" s="1"/>
  <c r="C20" i="8" a="1"/>
  <c r="C20" i="8" s="1"/>
  <c r="B20" i="8" a="1"/>
  <c r="B20" i="8" s="1"/>
  <c r="H19" i="8"/>
  <c r="G19" i="8"/>
  <c r="F19" i="8" a="1"/>
  <c r="F19" i="8" s="1"/>
  <c r="E19" i="8" a="1"/>
  <c r="E19" i="8" s="1"/>
  <c r="D19" i="8" a="1"/>
  <c r="D19" i="8" s="1"/>
  <c r="C19" i="8" a="1"/>
  <c r="C19" i="8" s="1"/>
  <c r="B19" i="8" a="1"/>
  <c r="B19" i="8" s="1"/>
  <c r="H18" i="8"/>
  <c r="G18" i="8"/>
  <c r="F18" i="8" a="1"/>
  <c r="F18" i="8" s="1"/>
  <c r="E18" i="8" a="1"/>
  <c r="E18" i="8" s="1"/>
  <c r="D18" i="8" a="1"/>
  <c r="D18" i="8" s="1"/>
  <c r="C18" i="8" a="1"/>
  <c r="C18" i="8" s="1"/>
  <c r="B18" i="8" a="1"/>
  <c r="B18" i="8" s="1"/>
  <c r="H17" i="8"/>
  <c r="G17" i="8"/>
  <c r="F17" i="8" a="1"/>
  <c r="F17" i="8" s="1"/>
  <c r="E17" i="8" a="1"/>
  <c r="E17" i="8" s="1"/>
  <c r="D17" i="8" a="1"/>
  <c r="D17" i="8" s="1"/>
  <c r="C17" i="8" a="1"/>
  <c r="C17" i="8" s="1"/>
  <c r="B17" i="8" a="1"/>
  <c r="B17" i="8" s="1"/>
  <c r="H16" i="8"/>
  <c r="G16" i="8"/>
  <c r="F16" i="8" a="1"/>
  <c r="F16" i="8" s="1"/>
  <c r="E16" i="8" a="1"/>
  <c r="E16" i="8" s="1"/>
  <c r="D16" i="8" a="1"/>
  <c r="D16" i="8" s="1"/>
  <c r="C16" i="8" a="1"/>
  <c r="C16" i="8" s="1"/>
  <c r="B16" i="8" a="1"/>
  <c r="B16" i="8" s="1"/>
  <c r="H15" i="8"/>
  <c r="G15" i="8"/>
  <c r="F15" i="8" a="1"/>
  <c r="F15" i="8" s="1"/>
  <c r="E15" i="8" a="1"/>
  <c r="E15" i="8" s="1"/>
  <c r="D15" i="8" a="1"/>
  <c r="D15" i="8" s="1"/>
  <c r="C15" i="8" a="1"/>
  <c r="C15" i="8" s="1"/>
  <c r="B15" i="8" a="1"/>
  <c r="B15" i="8" s="1"/>
  <c r="H14" i="8"/>
  <c r="G14" i="8"/>
  <c r="F14" i="8" a="1"/>
  <c r="F14" i="8" s="1"/>
  <c r="E14" i="8" a="1"/>
  <c r="E14" i="8" s="1"/>
  <c r="D14" i="8" a="1"/>
  <c r="D14" i="8" s="1"/>
  <c r="C14" i="8" a="1"/>
  <c r="C14" i="8" s="1"/>
  <c r="B14" i="8" a="1"/>
  <c r="B14" i="8" s="1"/>
  <c r="H13" i="8"/>
  <c r="G13" i="8"/>
  <c r="F13" i="8" a="1"/>
  <c r="F13" i="8" s="1"/>
  <c r="E13" i="8" a="1"/>
  <c r="E13" i="8" s="1"/>
  <c r="D13" i="8" a="1"/>
  <c r="D13" i="8" s="1"/>
  <c r="C13" i="8" a="1"/>
  <c r="C13" i="8" s="1"/>
  <c r="B13" i="8" a="1"/>
  <c r="B13" i="8" s="1"/>
  <c r="H12" i="8"/>
  <c r="G12" i="8"/>
  <c r="F12" i="8" a="1"/>
  <c r="F12" i="8" s="1"/>
  <c r="E12" i="8" a="1"/>
  <c r="E12" i="8" s="1"/>
  <c r="D12" i="8" a="1"/>
  <c r="D12" i="8" s="1"/>
  <c r="C12" i="8" a="1"/>
  <c r="C12" i="8" s="1"/>
  <c r="B12" i="8" a="1"/>
  <c r="B12" i="8" s="1"/>
  <c r="H11" i="8"/>
  <c r="G11" i="8"/>
  <c r="F11" i="8" a="1"/>
  <c r="F11" i="8" s="1"/>
  <c r="E11" i="8" a="1"/>
  <c r="E11" i="8" s="1"/>
  <c r="D11" i="8" a="1"/>
  <c r="D11" i="8" s="1"/>
  <c r="C11" i="8" a="1"/>
  <c r="C11" i="8" s="1"/>
  <c r="B11" i="8" a="1"/>
  <c r="B11" i="8" s="1"/>
  <c r="H10" i="8"/>
  <c r="G10" i="8"/>
  <c r="F10" i="8" a="1"/>
  <c r="F10" i="8" s="1"/>
  <c r="E10" i="8" a="1"/>
  <c r="E10" i="8" s="1"/>
  <c r="D10" i="8" a="1"/>
  <c r="D10" i="8" s="1"/>
  <c r="C10" i="8" a="1"/>
  <c r="C10" i="8" s="1"/>
  <c r="B10" i="8" a="1"/>
  <c r="B10" i="8" s="1"/>
  <c r="H9" i="8"/>
  <c r="G9" i="8"/>
  <c r="F9" i="8" a="1"/>
  <c r="F9" i="8" s="1"/>
  <c r="E9" i="8" a="1"/>
  <c r="E9" i="8" s="1"/>
  <c r="D9" i="8" a="1"/>
  <c r="D9" i="8" s="1"/>
  <c r="C9" i="8" a="1"/>
  <c r="C9" i="8" s="1"/>
  <c r="B9" i="8" a="1"/>
  <c r="B9" i="8" s="1"/>
  <c r="H8" i="8"/>
  <c r="G8" i="8"/>
  <c r="F8" i="8" a="1"/>
  <c r="F8" i="8" s="1"/>
  <c r="E8" i="8" a="1"/>
  <c r="E8" i="8" s="1"/>
  <c r="D8" i="8" a="1"/>
  <c r="D8" i="8" s="1"/>
  <c r="C8" i="8" a="1"/>
  <c r="C8" i="8" s="1"/>
  <c r="B8" i="8" a="1"/>
  <c r="B8" i="8" s="1"/>
  <c r="H7" i="8"/>
  <c r="G7" i="8"/>
  <c r="F7" i="8" a="1"/>
  <c r="F7" i="8" s="1"/>
  <c r="E7" i="8" a="1"/>
  <c r="E7" i="8" s="1"/>
  <c r="D7" i="8" a="1"/>
  <c r="D7" i="8" s="1"/>
  <c r="C7" i="8" a="1"/>
  <c r="C7" i="8" s="1"/>
  <c r="B7" i="8" a="1"/>
  <c r="B7" i="8" s="1"/>
  <c r="H6" i="8"/>
  <c r="G6" i="8"/>
  <c r="F6" i="8" a="1"/>
  <c r="F6" i="8" s="1"/>
  <c r="E6" i="8" a="1"/>
  <c r="E6" i="8" s="1"/>
  <c r="D6" i="8" a="1"/>
  <c r="D6" i="8" s="1"/>
  <c r="C6" i="8" a="1"/>
  <c r="C6" i="8" s="1"/>
  <c r="B6" i="8" a="1"/>
  <c r="B6" i="8" s="1"/>
  <c r="H5" i="8"/>
  <c r="G5" i="8"/>
  <c r="F5" i="8" a="1"/>
  <c r="F5" i="8" s="1"/>
  <c r="E5" i="8" a="1"/>
  <c r="E5" i="8" s="1"/>
  <c r="D5" i="8" a="1"/>
  <c r="D5" i="8" s="1"/>
  <c r="C5" i="8" a="1"/>
  <c r="C5" i="8" s="1"/>
  <c r="B5" i="8" a="1"/>
  <c r="B5" i="8" s="1"/>
  <c r="M10" i="7"/>
  <c r="L10" i="7"/>
  <c r="K10" i="7" a="1"/>
  <c r="K10" i="7" s="1"/>
  <c r="J10" i="7" a="1"/>
  <c r="J10" i="7" s="1"/>
  <c r="I10" i="7" a="1"/>
  <c r="I10" i="7" s="1"/>
  <c r="H10" i="7" a="1"/>
  <c r="H10" i="7" s="1"/>
  <c r="G10" i="7" a="1"/>
  <c r="G10" i="7" s="1"/>
  <c r="M9" i="7"/>
  <c r="L9" i="7"/>
  <c r="K9" i="7" a="1"/>
  <c r="K9" i="7" s="1"/>
  <c r="J9" i="7" a="1"/>
  <c r="J9" i="7" s="1"/>
  <c r="I9" i="7" a="1"/>
  <c r="I9" i="7" s="1"/>
  <c r="H9" i="7" a="1"/>
  <c r="H9" i="7" s="1"/>
  <c r="G9" i="7" a="1"/>
  <c r="G9" i="7" s="1"/>
  <c r="M8" i="7"/>
  <c r="L8" i="7"/>
  <c r="K8" i="7" a="1"/>
  <c r="K8" i="7" s="1"/>
  <c r="J8" i="7" a="1"/>
  <c r="J8" i="7" s="1"/>
  <c r="I8" i="7" a="1"/>
  <c r="I8" i="7" s="1"/>
  <c r="H8" i="7" a="1"/>
  <c r="H8" i="7" s="1"/>
  <c r="G8" i="7" a="1"/>
  <c r="G8" i="7" s="1"/>
  <c r="M7" i="7"/>
  <c r="L7" i="7"/>
  <c r="K7" i="7" a="1"/>
  <c r="K7" i="7" s="1"/>
  <c r="J7" i="7" a="1"/>
  <c r="J7" i="7" s="1"/>
  <c r="I7" i="7" a="1"/>
  <c r="I7" i="7" s="1"/>
  <c r="H7" i="7" a="1"/>
  <c r="H7" i="7" s="1"/>
  <c r="G7" i="7" a="1"/>
  <c r="G7" i="7" s="1"/>
  <c r="M6" i="7"/>
  <c r="L6" i="7"/>
  <c r="K6" i="7" a="1"/>
  <c r="K6" i="7" s="1"/>
  <c r="J6" i="7" a="1"/>
  <c r="J6" i="7" s="1"/>
  <c r="I6" i="7" a="1"/>
  <c r="I6" i="7" s="1"/>
  <c r="H6" i="7" a="1"/>
  <c r="H6" i="7" s="1"/>
  <c r="G6" i="7" a="1"/>
  <c r="G6" i="7" s="1"/>
  <c r="M5" i="7"/>
  <c r="L5" i="7"/>
  <c r="K5" i="7" a="1"/>
  <c r="K5" i="7" s="1"/>
  <c r="J5" i="7" a="1"/>
  <c r="J5" i="7" s="1"/>
  <c r="I5" i="7" a="1"/>
  <c r="I5" i="7" s="1"/>
  <c r="H5" i="7" a="1"/>
  <c r="H5" i="7" s="1"/>
  <c r="G5" i="7" a="1"/>
  <c r="G5" i="7" s="1"/>
  <c r="M5" i="6"/>
  <c r="L5" i="6"/>
  <c r="K5" i="6" a="1"/>
  <c r="K5" i="6" s="1"/>
  <c r="J5" i="6" a="1"/>
  <c r="J5" i="6" s="1"/>
  <c r="I5" i="6" a="1"/>
  <c r="I5" i="6" s="1"/>
  <c r="H5" i="6" a="1"/>
  <c r="H5" i="6" s="1"/>
  <c r="G5" i="6" a="1"/>
  <c r="G5" i="6" s="1"/>
  <c r="M7" i="5"/>
  <c r="L7" i="5"/>
  <c r="K7" i="5" a="1"/>
  <c r="K7" i="5" s="1"/>
  <c r="J7" i="5" a="1"/>
  <c r="J7" i="5" s="1"/>
  <c r="I7" i="5" a="1"/>
  <c r="I7" i="5" s="1"/>
  <c r="H7" i="5" a="1"/>
  <c r="H7" i="5" s="1"/>
  <c r="G7" i="5" a="1"/>
  <c r="G7" i="5" s="1"/>
  <c r="M6" i="5"/>
  <c r="L6" i="5"/>
  <c r="K6" i="5" a="1"/>
  <c r="K6" i="5" s="1"/>
  <c r="J6" i="5" a="1"/>
  <c r="J6" i="5" s="1"/>
  <c r="I6" i="5" a="1"/>
  <c r="I6" i="5" s="1"/>
  <c r="H6" i="5" a="1"/>
  <c r="H6" i="5" s="1"/>
  <c r="G6" i="5" a="1"/>
  <c r="G6" i="5" s="1"/>
  <c r="M5" i="5"/>
  <c r="L5" i="5"/>
  <c r="K5" i="5" a="1"/>
  <c r="K5" i="5" s="1"/>
  <c r="J5" i="5" a="1"/>
  <c r="J5" i="5" s="1"/>
  <c r="I5" i="5" a="1"/>
  <c r="I5" i="5" s="1"/>
  <c r="H5" i="5" a="1"/>
  <c r="H5" i="5" s="1"/>
  <c r="G5" i="5" a="1"/>
  <c r="G5" i="5" s="1"/>
  <c r="M28" i="4"/>
  <c r="N28" i="4" s="1"/>
  <c r="L28" i="4"/>
  <c r="K28" i="4" a="1"/>
  <c r="K28" i="4" s="1"/>
  <c r="J28" i="4" a="1"/>
  <c r="J28" i="4" s="1"/>
  <c r="I28" i="4" a="1"/>
  <c r="I28" i="4" s="1"/>
  <c r="H28" i="4" a="1"/>
  <c r="H28" i="4" s="1"/>
  <c r="G28" i="4" a="1"/>
  <c r="G28" i="4" s="1"/>
  <c r="M27" i="4"/>
  <c r="N27" i="4" s="1"/>
  <c r="L27" i="4"/>
  <c r="K27" i="4" a="1"/>
  <c r="K27" i="4" s="1"/>
  <c r="J27" i="4" a="1"/>
  <c r="J27" i="4" s="1"/>
  <c r="I27" i="4" a="1"/>
  <c r="I27" i="4" s="1"/>
  <c r="H27" i="4" a="1"/>
  <c r="H27" i="4" s="1"/>
  <c r="G27" i="4" a="1"/>
  <c r="G27" i="4" s="1"/>
  <c r="M26" i="4"/>
  <c r="N26" i="4" s="1"/>
  <c r="L26" i="4"/>
  <c r="K26" i="4" a="1"/>
  <c r="K26" i="4" s="1"/>
  <c r="J26" i="4" a="1"/>
  <c r="J26" i="4" s="1"/>
  <c r="I26" i="4" a="1"/>
  <c r="I26" i="4" s="1"/>
  <c r="H26" i="4" a="1"/>
  <c r="H26" i="4" s="1"/>
  <c r="G26" i="4" a="1"/>
  <c r="G26" i="4" s="1"/>
  <c r="M25" i="4"/>
  <c r="N25" i="4" s="1"/>
  <c r="L25" i="4"/>
  <c r="K25" i="4" a="1"/>
  <c r="K25" i="4" s="1"/>
  <c r="J25" i="4" a="1"/>
  <c r="J25" i="4" s="1"/>
  <c r="I25" i="4" a="1"/>
  <c r="I25" i="4" s="1"/>
  <c r="H25" i="4" a="1"/>
  <c r="H25" i="4" s="1"/>
  <c r="G25" i="4" a="1"/>
  <c r="G25" i="4" s="1"/>
  <c r="M24" i="4"/>
  <c r="N24" i="4" s="1"/>
  <c r="L24" i="4"/>
  <c r="K24" i="4" a="1"/>
  <c r="K24" i="4" s="1"/>
  <c r="J24" i="4" a="1"/>
  <c r="J24" i="4" s="1"/>
  <c r="I24" i="4" a="1"/>
  <c r="I24" i="4" s="1"/>
  <c r="H24" i="4" a="1"/>
  <c r="H24" i="4" s="1"/>
  <c r="G24" i="4" a="1"/>
  <c r="G24" i="4" s="1"/>
  <c r="M23" i="4"/>
  <c r="L23" i="4"/>
  <c r="K23" i="4" a="1"/>
  <c r="K23" i="4" s="1"/>
  <c r="J23" i="4" a="1"/>
  <c r="J23" i="4" s="1"/>
  <c r="I23" i="4" a="1"/>
  <c r="I23" i="4" s="1"/>
  <c r="H23" i="4" a="1"/>
  <c r="H23" i="4" s="1"/>
  <c r="G23" i="4" a="1"/>
  <c r="G23" i="4" s="1"/>
  <c r="M22" i="4"/>
  <c r="L22" i="4"/>
  <c r="K22" i="4" a="1"/>
  <c r="K22" i="4" s="1"/>
  <c r="J22" i="4" a="1"/>
  <c r="J22" i="4" s="1"/>
  <c r="I22" i="4" a="1"/>
  <c r="I22" i="4" s="1"/>
  <c r="H22" i="4" a="1"/>
  <c r="H22" i="4" s="1"/>
  <c r="G22" i="4" a="1"/>
  <c r="G22" i="4" s="1"/>
  <c r="M21" i="4"/>
  <c r="L21" i="4"/>
  <c r="K21" i="4" a="1"/>
  <c r="K21" i="4" s="1"/>
  <c r="J21" i="4" a="1"/>
  <c r="J21" i="4" s="1"/>
  <c r="I21" i="4" a="1"/>
  <c r="I21" i="4" s="1"/>
  <c r="H21" i="4" a="1"/>
  <c r="H21" i="4" s="1"/>
  <c r="G21" i="4" a="1"/>
  <c r="G21" i="4" s="1"/>
  <c r="M20" i="4"/>
  <c r="L20" i="4"/>
  <c r="K20" i="4" a="1"/>
  <c r="K20" i="4" s="1"/>
  <c r="J20" i="4" a="1"/>
  <c r="J20" i="4" s="1"/>
  <c r="I20" i="4" a="1"/>
  <c r="I20" i="4" s="1"/>
  <c r="H20" i="4" a="1"/>
  <c r="H20" i="4" s="1"/>
  <c r="G20" i="4" a="1"/>
  <c r="G20" i="4" s="1"/>
  <c r="M19" i="4"/>
  <c r="N19" i="4" s="1"/>
  <c r="L19" i="4"/>
  <c r="K19" i="4" a="1"/>
  <c r="K19" i="4" s="1"/>
  <c r="J19" i="4" a="1"/>
  <c r="J19" i="4" s="1"/>
  <c r="I19" i="4" a="1"/>
  <c r="I19" i="4" s="1"/>
  <c r="H19" i="4" a="1"/>
  <c r="H19" i="4" s="1"/>
  <c r="G19" i="4" a="1"/>
  <c r="G19" i="4" s="1"/>
  <c r="M18" i="4"/>
  <c r="L18" i="4"/>
  <c r="K18" i="4" a="1"/>
  <c r="K18" i="4" s="1"/>
  <c r="J18" i="4" a="1"/>
  <c r="J18" i="4" s="1"/>
  <c r="I18" i="4" a="1"/>
  <c r="I18" i="4" s="1"/>
  <c r="H18" i="4" a="1"/>
  <c r="H18" i="4" s="1"/>
  <c r="G18" i="4" a="1"/>
  <c r="G18" i="4" s="1"/>
  <c r="M17" i="4"/>
  <c r="L17" i="4"/>
  <c r="K17" i="4" a="1"/>
  <c r="K17" i="4" s="1"/>
  <c r="J17" i="4" a="1"/>
  <c r="J17" i="4" s="1"/>
  <c r="I17" i="4" a="1"/>
  <c r="I17" i="4" s="1"/>
  <c r="H17" i="4" a="1"/>
  <c r="H17" i="4" s="1"/>
  <c r="G17" i="4" a="1"/>
  <c r="G17" i="4" s="1"/>
  <c r="M16" i="4"/>
  <c r="N16" i="4" s="1"/>
  <c r="L16" i="4"/>
  <c r="K16" i="4" a="1"/>
  <c r="K16" i="4" s="1"/>
  <c r="J16" i="4" a="1"/>
  <c r="J16" i="4" s="1"/>
  <c r="I16" i="4" a="1"/>
  <c r="I16" i="4" s="1"/>
  <c r="H16" i="4" a="1"/>
  <c r="H16" i="4" s="1"/>
  <c r="G16" i="4" a="1"/>
  <c r="G16" i="4" s="1"/>
  <c r="M15" i="4"/>
  <c r="L15" i="4"/>
  <c r="K15" i="4" a="1"/>
  <c r="K15" i="4" s="1"/>
  <c r="J15" i="4" a="1"/>
  <c r="J15" i="4" s="1"/>
  <c r="I15" i="4" a="1"/>
  <c r="I15" i="4" s="1"/>
  <c r="H15" i="4" a="1"/>
  <c r="H15" i="4" s="1"/>
  <c r="G15" i="4" a="1"/>
  <c r="G15" i="4" s="1"/>
  <c r="M14" i="4"/>
  <c r="L14" i="4"/>
  <c r="K14" i="4" a="1"/>
  <c r="K14" i="4" s="1"/>
  <c r="J14" i="4" a="1"/>
  <c r="J14" i="4" s="1"/>
  <c r="I14" i="4" a="1"/>
  <c r="I14" i="4" s="1"/>
  <c r="H14" i="4" a="1"/>
  <c r="H14" i="4" s="1"/>
  <c r="G14" i="4" a="1"/>
  <c r="G14" i="4" s="1"/>
  <c r="M13" i="4"/>
  <c r="L13" i="4"/>
  <c r="K13" i="4" a="1"/>
  <c r="K13" i="4" s="1"/>
  <c r="J13" i="4" a="1"/>
  <c r="J13" i="4" s="1"/>
  <c r="I13" i="4" a="1"/>
  <c r="I13" i="4" s="1"/>
  <c r="H13" i="4" a="1"/>
  <c r="H13" i="4" s="1"/>
  <c r="G13" i="4" a="1"/>
  <c r="G13" i="4" s="1"/>
  <c r="M12" i="4"/>
  <c r="N12" i="4" s="1"/>
  <c r="L12" i="4"/>
  <c r="K12" i="4" a="1"/>
  <c r="K12" i="4" s="1"/>
  <c r="J12" i="4" a="1"/>
  <c r="J12" i="4" s="1"/>
  <c r="I12" i="4" a="1"/>
  <c r="I12" i="4" s="1"/>
  <c r="H12" i="4" a="1"/>
  <c r="H12" i="4" s="1"/>
  <c r="G12" i="4" a="1"/>
  <c r="G12" i="4" s="1"/>
  <c r="M11" i="4"/>
  <c r="L11" i="4"/>
  <c r="K11" i="4" a="1"/>
  <c r="K11" i="4" s="1"/>
  <c r="J11" i="4" a="1"/>
  <c r="J11" i="4" s="1"/>
  <c r="I11" i="4" a="1"/>
  <c r="I11" i="4" s="1"/>
  <c r="H11" i="4" a="1"/>
  <c r="H11" i="4" s="1"/>
  <c r="G11" i="4" a="1"/>
  <c r="G11" i="4" s="1"/>
  <c r="M10" i="4"/>
  <c r="L10" i="4"/>
  <c r="K10" i="4" a="1"/>
  <c r="K10" i="4" s="1"/>
  <c r="J10" i="4" a="1"/>
  <c r="J10" i="4" s="1"/>
  <c r="I10" i="4" a="1"/>
  <c r="I10" i="4" s="1"/>
  <c r="H10" i="4" a="1"/>
  <c r="H10" i="4" s="1"/>
  <c r="G10" i="4" a="1"/>
  <c r="G10" i="4" s="1"/>
  <c r="M9" i="4"/>
  <c r="L9" i="4"/>
  <c r="K9" i="4" a="1"/>
  <c r="K9" i="4" s="1"/>
  <c r="J9" i="4" a="1"/>
  <c r="J9" i="4" s="1"/>
  <c r="I9" i="4" a="1"/>
  <c r="I9" i="4" s="1"/>
  <c r="H9" i="4" a="1"/>
  <c r="H9" i="4" s="1"/>
  <c r="G9" i="4" a="1"/>
  <c r="G9" i="4" s="1"/>
  <c r="M8" i="4"/>
  <c r="L8" i="4"/>
  <c r="K8" i="4" a="1"/>
  <c r="K8" i="4" s="1"/>
  <c r="J8" i="4" a="1"/>
  <c r="J8" i="4" s="1"/>
  <c r="I8" i="4" a="1"/>
  <c r="I8" i="4" s="1"/>
  <c r="H8" i="4" a="1"/>
  <c r="H8" i="4" s="1"/>
  <c r="G8" i="4" a="1"/>
  <c r="G8" i="4" s="1"/>
  <c r="M7" i="4"/>
  <c r="L7" i="4"/>
  <c r="K7" i="4" a="1"/>
  <c r="K7" i="4" s="1"/>
  <c r="J7" i="4" a="1"/>
  <c r="J7" i="4" s="1"/>
  <c r="I7" i="4" a="1"/>
  <c r="I7" i="4" s="1"/>
  <c r="H7" i="4" a="1"/>
  <c r="H7" i="4" s="1"/>
  <c r="G7" i="4" a="1"/>
  <c r="G7" i="4" s="1"/>
  <c r="M6" i="4"/>
  <c r="L6" i="4"/>
  <c r="K6" i="4" a="1"/>
  <c r="K6" i="4" s="1"/>
  <c r="J6" i="4" a="1"/>
  <c r="J6" i="4" s="1"/>
  <c r="I6" i="4" a="1"/>
  <c r="I6" i="4" s="1"/>
  <c r="H6" i="4" a="1"/>
  <c r="H6" i="4" s="1"/>
  <c r="G6" i="4" a="1"/>
  <c r="G6" i="4" s="1"/>
  <c r="M5" i="4"/>
  <c r="L5" i="4"/>
  <c r="K5" i="4" a="1"/>
  <c r="K5" i="4" s="1"/>
  <c r="J5" i="4" a="1"/>
  <c r="J5" i="4" s="1"/>
  <c r="I5" i="4" a="1"/>
  <c r="I5" i="4" s="1"/>
  <c r="H5" i="4" a="1"/>
  <c r="H5" i="4" s="1"/>
  <c r="G5" i="4" a="1"/>
  <c r="G5" i="4" s="1"/>
  <c r="M11" i="3"/>
  <c r="L11" i="3"/>
  <c r="K11" i="3" a="1"/>
  <c r="K11" i="3" s="1"/>
  <c r="J11" i="3" a="1"/>
  <c r="J11" i="3" s="1"/>
  <c r="I11" i="3" a="1"/>
  <c r="I11" i="3" s="1"/>
  <c r="H11" i="3" a="1"/>
  <c r="H11" i="3" s="1"/>
  <c r="G11" i="3" a="1"/>
  <c r="G11" i="3" s="1"/>
  <c r="M10" i="3"/>
  <c r="L10" i="3"/>
  <c r="K10" i="3" a="1"/>
  <c r="K10" i="3" s="1"/>
  <c r="J10" i="3" a="1"/>
  <c r="J10" i="3" s="1"/>
  <c r="I10" i="3" a="1"/>
  <c r="I10" i="3" s="1"/>
  <c r="H10" i="3" a="1"/>
  <c r="H10" i="3" s="1"/>
  <c r="G10" i="3" a="1"/>
  <c r="G10" i="3" s="1"/>
  <c r="M9" i="3"/>
  <c r="N9" i="3" s="1"/>
  <c r="L9" i="3"/>
  <c r="K9" i="3" a="1"/>
  <c r="K9" i="3" s="1"/>
  <c r="J9" i="3" a="1"/>
  <c r="J9" i="3" s="1"/>
  <c r="I9" i="3" a="1"/>
  <c r="I9" i="3" s="1"/>
  <c r="H9" i="3" a="1"/>
  <c r="H9" i="3" s="1"/>
  <c r="G9" i="3" a="1"/>
  <c r="G9" i="3" s="1"/>
  <c r="M8" i="3"/>
  <c r="L8" i="3"/>
  <c r="K8" i="3" a="1"/>
  <c r="K8" i="3" s="1"/>
  <c r="J8" i="3" a="1"/>
  <c r="J8" i="3" s="1"/>
  <c r="I8" i="3" a="1"/>
  <c r="I8" i="3" s="1"/>
  <c r="H8" i="3" a="1"/>
  <c r="H8" i="3" s="1"/>
  <c r="G8" i="3" a="1"/>
  <c r="G8" i="3" s="1"/>
  <c r="M7" i="3"/>
  <c r="L7" i="3"/>
  <c r="K7" i="3" a="1"/>
  <c r="K7" i="3" s="1"/>
  <c r="J7" i="3" a="1"/>
  <c r="J7" i="3" s="1"/>
  <c r="I7" i="3" a="1"/>
  <c r="I7" i="3" s="1"/>
  <c r="H7" i="3" a="1"/>
  <c r="H7" i="3" s="1"/>
  <c r="G7" i="3" a="1"/>
  <c r="G7" i="3" s="1"/>
  <c r="M6" i="3"/>
  <c r="L6" i="3"/>
  <c r="K6" i="3" a="1"/>
  <c r="K6" i="3" s="1"/>
  <c r="J6" i="3" a="1"/>
  <c r="J6" i="3" s="1"/>
  <c r="I6" i="3" a="1"/>
  <c r="I6" i="3" s="1"/>
  <c r="H6" i="3" a="1"/>
  <c r="H6" i="3" s="1"/>
  <c r="G6" i="3" a="1"/>
  <c r="G6" i="3" s="1"/>
  <c r="M5" i="3"/>
  <c r="L5" i="3"/>
  <c r="K5" i="3" a="1"/>
  <c r="K5" i="3" s="1"/>
  <c r="J5" i="3" a="1"/>
  <c r="J5" i="3" s="1"/>
  <c r="I5" i="3" a="1"/>
  <c r="I5" i="3" s="1"/>
  <c r="H5" i="3" a="1"/>
  <c r="H5" i="3" s="1"/>
  <c r="G5" i="3" a="1"/>
  <c r="G5" i="3" s="1"/>
  <c r="J11" i="2"/>
  <c r="H11" i="2"/>
  <c r="G11" i="2"/>
  <c r="F11" i="2"/>
  <c r="E11" i="2"/>
  <c r="D11" i="2"/>
  <c r="B11" i="2"/>
  <c r="J10" i="2"/>
  <c r="H10" i="2"/>
  <c r="G10" i="2"/>
  <c r="F10" i="2"/>
  <c r="E10" i="2"/>
  <c r="D10" i="2"/>
  <c r="B10" i="2"/>
  <c r="J9" i="2"/>
  <c r="H9" i="2"/>
  <c r="G9" i="2"/>
  <c r="F9" i="2"/>
  <c r="E9" i="2"/>
  <c r="D9" i="2"/>
  <c r="B9" i="2"/>
  <c r="J8" i="2"/>
  <c r="H8" i="2"/>
  <c r="G8" i="2"/>
  <c r="F8" i="2"/>
  <c r="E8" i="2"/>
  <c r="D8" i="2"/>
  <c r="B8" i="2"/>
  <c r="J7" i="2"/>
  <c r="H7" i="2"/>
  <c r="G7" i="2"/>
  <c r="F7" i="2"/>
  <c r="E7" i="2"/>
  <c r="D7" i="2"/>
  <c r="B7" i="2"/>
  <c r="J6" i="2"/>
  <c r="H6" i="2"/>
  <c r="G6" i="2"/>
  <c r="F6" i="2"/>
  <c r="E6" i="2"/>
  <c r="D6" i="2"/>
  <c r="B6" i="2"/>
  <c r="J5" i="2"/>
  <c r="H5" i="2"/>
  <c r="G5" i="2"/>
  <c r="F5" i="2"/>
  <c r="E5" i="2"/>
  <c r="D5" i="2"/>
  <c r="B5" i="2"/>
  <c r="B12" i="2" s="1"/>
  <c r="N5" i="7" l="1"/>
  <c r="N8" i="7"/>
  <c r="C10" i="2" s="1"/>
  <c r="N7" i="7"/>
  <c r="N7" i="5"/>
  <c r="N20" i="4"/>
  <c r="I9" i="2"/>
  <c r="N6" i="7"/>
  <c r="N11" i="3"/>
  <c r="N6" i="4"/>
  <c r="N21" i="4"/>
  <c r="N17" i="4"/>
  <c r="N15" i="4"/>
  <c r="N6" i="3"/>
  <c r="N9" i="4"/>
  <c r="N13" i="4"/>
  <c r="N10" i="3"/>
  <c r="N23" i="4"/>
  <c r="N11" i="4"/>
  <c r="J12" i="2"/>
  <c r="N7" i="3"/>
  <c r="N8" i="4"/>
  <c r="I11" i="2"/>
  <c r="N14" i="4"/>
  <c r="N18" i="4"/>
  <c r="N5" i="3"/>
  <c r="N5" i="4"/>
  <c r="N6" i="5"/>
  <c r="N9" i="7"/>
  <c r="C9" i="2" s="1"/>
  <c r="D12" i="2"/>
  <c r="H12" i="2"/>
  <c r="E12" i="2"/>
  <c r="I7" i="2"/>
  <c r="N7" i="4"/>
  <c r="N10" i="4"/>
  <c r="N5" i="6"/>
  <c r="C8" i="2" s="1"/>
  <c r="N5" i="5"/>
  <c r="I8" i="2"/>
  <c r="I10" i="2"/>
  <c r="N22" i="4"/>
  <c r="G12" i="2"/>
  <c r="N8" i="3"/>
  <c r="I6" i="2"/>
  <c r="I5" i="2"/>
  <c r="F12" i="2"/>
  <c r="C11" i="2" l="1"/>
  <c r="C5" i="2"/>
  <c r="C6" i="2"/>
  <c r="C7" i="2"/>
  <c r="I12" i="2"/>
  <c r="C12" i="2" l="1"/>
</calcChain>
</file>

<file path=xl/sharedStrings.xml><?xml version="1.0" encoding="utf-8"?>
<sst xmlns="http://schemas.openxmlformats.org/spreadsheetml/2006/main" count="1232" uniqueCount="242">
  <si>
    <t>Resumo por tipologia de resíduo</t>
  </si>
  <si>
    <t>Tipologia</t>
  </si>
  <si>
    <t>Nº circuitos</t>
  </si>
  <si>
    <t>Circuitos sem viatura</t>
  </si>
  <si>
    <t>Semana · Manhã</t>
  </si>
  <si>
    <t>Semana · Tarde</t>
  </si>
  <si>
    <t>Semana · Noite</t>
  </si>
  <si>
    <t>Sábado</t>
  </si>
  <si>
    <t>Domingo</t>
  </si>
  <si>
    <t>Viaturas-turno (semana)</t>
  </si>
  <si>
    <t>Tripulantes-turno (semana)</t>
  </si>
  <si>
    <t>Orgânicos</t>
  </si>
  <si>
    <t>Indiferenciados</t>
  </si>
  <si>
    <t>Recicláveis</t>
  </si>
  <si>
    <t>Volumosos (Monstros)</t>
  </si>
  <si>
    <t>PAYT</t>
  </si>
  <si>
    <t>Serviços de apoio</t>
  </si>
  <si>
    <t>A confirmar</t>
  </si>
  <si>
    <t>TOTAL</t>
  </si>
  <si>
    <t>Circuitos · Orgânicos</t>
  </si>
  <si>
    <t>Circuito</t>
  </si>
  <si>
    <t>Tipo de recolha</t>
  </si>
  <si>
    <t>Localidades</t>
  </si>
  <si>
    <t>Dias de recolha</t>
  </si>
  <si>
    <t>Cód. viatura (ficheiro circuitos)</t>
  </si>
  <si>
    <t>Nº afetações (semana)</t>
  </si>
  <si>
    <t>Nº afetações (total)</t>
  </si>
  <si>
    <t>Estado</t>
  </si>
  <si>
    <t>Observação</t>
  </si>
  <si>
    <t>BIO 1</t>
  </si>
  <si>
    <t>PAP</t>
  </si>
  <si>
    <t>Centro histórico</t>
  </si>
  <si>
    <t>Todos os dias
Manhã e tarde</t>
  </si>
  <si>
    <t>V1</t>
  </si>
  <si>
    <t>BIO 2</t>
  </si>
  <si>
    <t>Contentores</t>
  </si>
  <si>
    <t>HORECA
Cemitérios
Contentores 1000L Taipas e Creixomil</t>
  </si>
  <si>
    <t>V2</t>
  </si>
  <si>
    <t>BIO 3</t>
  </si>
  <si>
    <t>Todos os cemitérios do concelho</t>
  </si>
  <si>
    <t>Todos os dias</t>
  </si>
  <si>
    <t>V3</t>
  </si>
  <si>
    <t>BIO 4</t>
  </si>
  <si>
    <t>Cidade
Costa
Urgezes
Azúrem
Creixomil
Campelos</t>
  </si>
  <si>
    <t>BIO 5</t>
  </si>
  <si>
    <t>Aldão (compactador)</t>
  </si>
  <si>
    <t>BIO 6</t>
  </si>
  <si>
    <t>Ponte
Fermentões</t>
  </si>
  <si>
    <t>Segunda-feria
Sexta-feira</t>
  </si>
  <si>
    <t>V4</t>
  </si>
  <si>
    <t>BIO (s/ nº)</t>
  </si>
  <si>
    <t>Escrito só "Bio" no planeamento. Confirmar qual circuito BIO.</t>
  </si>
  <si>
    <t>Circuitos · Indiferenciados</t>
  </si>
  <si>
    <t>C1</t>
  </si>
  <si>
    <t>Moloks</t>
  </si>
  <si>
    <t>Costa
Azurém
Moreira de Cónegos
Mesão Frio
São Torcato</t>
  </si>
  <si>
    <t>Conforme planeamento</t>
  </si>
  <si>
    <t>C2</t>
  </si>
  <si>
    <t>Cidade
Costa
Senhora da Conceição</t>
  </si>
  <si>
    <t>C3</t>
  </si>
  <si>
    <t>Fermentões
Caldelas
Barco
Santo Eufémia
Ponte
Sande S. Martinho
Prazins
Souto</t>
  </si>
  <si>
    <t>C4</t>
  </si>
  <si>
    <t>Urgezes
Selho
Campelos
Ronfe
Serzedelo
Gandarela
Silvares
Brito
Gondar
Guardizela</t>
  </si>
  <si>
    <t>C5</t>
  </si>
  <si>
    <t>Creixomil (zona alta)</t>
  </si>
  <si>
    <t>C6</t>
  </si>
  <si>
    <t>Urgezes, Abação, Creixomil (zona baixa), Penha, Polvoreira, Conde, Nespereira e Lordelo</t>
  </si>
  <si>
    <t>C7</t>
  </si>
  <si>
    <t>Donin
Briteiros S. Estevão</t>
  </si>
  <si>
    <t>3ª, 5ª &amp; SAB</t>
  </si>
  <si>
    <t>C8</t>
  </si>
  <si>
    <t>Ponte</t>
  </si>
  <si>
    <t>4ª (manhã)
2ª &amp; 6ª (tarde)</t>
  </si>
  <si>
    <t>C9</t>
  </si>
  <si>
    <t>Balazar
Longos
Sande São Lourenço
Santa Leocadia de Briteiros</t>
  </si>
  <si>
    <t>2ª, 4ª &amp; 6ª</t>
  </si>
  <si>
    <t>C10</t>
  </si>
  <si>
    <t>Arosa
Castelões
Souto São Salvador
Gondomar
Souto Santa Maria</t>
  </si>
  <si>
    <t>3ª, 5ª, &amp; SAB.</t>
  </si>
  <si>
    <t>C11</t>
  </si>
  <si>
    <t>Contentores Ponte ( 2º E 6º)
Taipas
Sande São Martinho
São Salvador de Briteiros
Nascional de Brito/taips
Escolas Taipas
Supermercado</t>
  </si>
  <si>
    <t>2ª, 4ª, 6ª (manhã)
3ª, 5ª, SAB (tarde)</t>
  </si>
  <si>
    <t>C12</t>
  </si>
  <si>
    <t>Santo Amaro
Santiago Candoso
Silvares</t>
  </si>
  <si>
    <t>C13</t>
  </si>
  <si>
    <t>Pencelo
Fermentões
Gominhães
Selho São Lourenço
Corvite
Prazins
Santo Eufémia
Nacional Selho São Lourenço</t>
  </si>
  <si>
    <t>2ª, 4ª &amp; 6ª (manhã)
3ª, 5ª &amp; SAB (tarde)</t>
  </si>
  <si>
    <t>C14</t>
  </si>
  <si>
    <t>Contentores Cidade
Salgueiral
Vila Nova Ruas Estreitas
São Clemente Rua Estreitas
Campelos ( 4ª)
Selho Ruas Estreitas
São Torcato Rua Estreitas Vermil Creixomil (5ª)</t>
  </si>
  <si>
    <t>C15</t>
  </si>
  <si>
    <t>Conde
Guardizela
Gandarela
Serzedelo</t>
  </si>
  <si>
    <t>C16</t>
  </si>
  <si>
    <t>Vila Nova Sande
São Clemente
Figueiredo
Oleiros
Santa Maria Airão
Airão São João</t>
  </si>
  <si>
    <t>C17</t>
  </si>
  <si>
    <t>São Martinho Candoso
Selho São Cristovão</t>
  </si>
  <si>
    <t>C18</t>
  </si>
  <si>
    <t>Ronfe</t>
  </si>
  <si>
    <t>C19</t>
  </si>
  <si>
    <t>Brito</t>
  </si>
  <si>
    <t>C20</t>
  </si>
  <si>
    <t>Aldão
Atães
Rendufe</t>
  </si>
  <si>
    <t>C21</t>
  </si>
  <si>
    <t>São Torcato
Gonça</t>
  </si>
  <si>
    <t>C22</t>
  </si>
  <si>
    <t>Ruas Estreitas
Abação
São Cristovão
Pinheiro
Polvoreira
Nespereira
Moreira
Lordelo
Ruas Estreitas
Urgezess(5ª)
Cidade Contentores
Costa
Contentores Mesão Frio</t>
  </si>
  <si>
    <t>C23</t>
  </si>
  <si>
    <t>Lordelo</t>
  </si>
  <si>
    <t>C24</t>
  </si>
  <si>
    <t>Moreira de Conégos</t>
  </si>
  <si>
    <t>Circuitos · Recicláveis</t>
  </si>
  <si>
    <t>CARTÃO</t>
  </si>
  <si>
    <t>Não consta no ficheiro de circuitos.</t>
  </si>
  <si>
    <t>RECICLAGEM</t>
  </si>
  <si>
    <t>SELETIVO</t>
  </si>
  <si>
    <t>Circuitos · Volumosos (Monstros)</t>
  </si>
  <si>
    <t>MONSTROS</t>
  </si>
  <si>
    <t>Recolha de volumosos. Não consta no ficheiro de circuitos.</t>
  </si>
  <si>
    <t>Circuitos · Outros serviços</t>
  </si>
  <si>
    <t>1A/1B</t>
  </si>
  <si>
    <t>Código "1 A/ 1B" não existe no ficheiro de circuitos. Confirmar.</t>
  </si>
  <si>
    <t>C.H (Centro Histórico)</t>
  </si>
  <si>
    <t>Escrito "C.H" no domingo. Pode ser BIO 1 (Centro histórico). Confirmar.</t>
  </si>
  <si>
    <t>CONTENTORES</t>
  </si>
  <si>
    <t>Serviço de apoio (colocação/reparação de contentores?). Confirmar.</t>
  </si>
  <si>
    <t>LAVAGEM CONTENTORES</t>
  </si>
  <si>
    <t>Escrito "LAVAGEM" e "LAVA-CONTENTORES" no planeamento.</t>
  </si>
  <si>
    <t>Pay-As-You-Throw (Centro Histórico, folha CHG). Não consta no ficheiro de circuitos.</t>
  </si>
  <si>
    <t>Sem afetação</t>
  </si>
  <si>
    <t>SEM CIRCUITO</t>
  </si>
  <si>
    <t>—</t>
  </si>
  <si>
    <t>Viaturas listadas no planeamento sem circuito atribuído (reserva/oficina?).</t>
  </si>
  <si>
    <t>Viaturas · circuitos atribuídos por turno</t>
  </si>
  <si>
    <t>Matrícula</t>
  </si>
  <si>
    <t>Turnos ocupados (semana)</t>
  </si>
  <si>
    <t>Afetações (total)</t>
  </si>
  <si>
    <t>24-ZZ-64</t>
  </si>
  <si>
    <t>29-20-ZN</t>
  </si>
  <si>
    <t>29-48-XU</t>
  </si>
  <si>
    <t>Nunca tem circuito atribuído.</t>
  </si>
  <si>
    <t>47-LP-50</t>
  </si>
  <si>
    <t>48-CQ-06</t>
  </si>
  <si>
    <t>49-GC-79</t>
  </si>
  <si>
    <t>49-GC-80</t>
  </si>
  <si>
    <t>49-GC-81</t>
  </si>
  <si>
    <t>58-PF-10</t>
  </si>
  <si>
    <t>60-45-XJ</t>
  </si>
  <si>
    <t>60-93-ZG</t>
  </si>
  <si>
    <t>65-RB-29</t>
  </si>
  <si>
    <t>Sábado manhã: aparece em 2 linhas (C1 e sem circuito).</t>
  </si>
  <si>
    <t>69-TJ-24</t>
  </si>
  <si>
    <t>74-HN-36</t>
  </si>
  <si>
    <t>75-ZQ-13</t>
  </si>
  <si>
    <t>Semana manhã: sem circuito na folha SHU, MONSTROS na folha CHG.</t>
  </si>
  <si>
    <t>75-ZQ-24</t>
  </si>
  <si>
    <t>Semana tarde: aparece em 2 linhas (SELETIVO e MONSTROS).</t>
  </si>
  <si>
    <t>79-CN-84</t>
  </si>
  <si>
    <t>AJ-49-UO</t>
  </si>
  <si>
    <t>AN-50-LT</t>
  </si>
  <si>
    <t>AR-81-SQ</t>
  </si>
  <si>
    <t>AR-93-SQ</t>
  </si>
  <si>
    <t>AS-75-SG</t>
  </si>
  <si>
    <t>AT-28-PM</t>
  </si>
  <si>
    <t>Só aparece uma vez (semana, noite). Possível erro de escrita de AT-98-PM.</t>
  </si>
  <si>
    <t>AT-98-PM</t>
  </si>
  <si>
    <t>PAYT todos os dias. Ao fim de semana faz os 3 turnos; na semana à noite o PAYT surge com AT-28-PM (confirmar).</t>
  </si>
  <si>
    <t>AV-32-SV</t>
  </si>
  <si>
    <t>BD-86-EN</t>
  </si>
  <si>
    <t>BZ-39-IV</t>
  </si>
  <si>
    <t>CA-05-PT</t>
  </si>
  <si>
    <t>CA-27-DS</t>
  </si>
  <si>
    <t>#</t>
  </si>
  <si>
    <t>Tipo</t>
  </si>
  <si>
    <t>Detalhe</t>
  </si>
  <si>
    <t>Sugestão</t>
  </si>
  <si>
    <t>Circuito sem viatura</t>
  </si>
  <si>
    <t>Circuitos do ficheiro de circuitos que não aparecem no planeamento: BIO 5, C8, C12, C15, C20, C21, C22, C23, C24.</t>
  </si>
  <si>
    <t>Confirmar se estão integrados noutros circuitos ou se faltam no planeamento.</t>
  </si>
  <si>
    <t>Código de viatura</t>
  </si>
  <si>
    <t>O ficheiro de circuitos usa V1–V4. Pelo planeamento, a correspondência provável é: V1 = AR-93-SQ (faz BIO 4 de manhã e BIO 1 à tarde); V2 = AR-81-SQ (BIO 2); V3 = 60-93-ZG / AS-75-SG (BIO 3); V4 = AN-50-LT (BIO 6).</t>
  </si>
  <si>
    <t>Confirmar e substituir V1–V4 por matrículas no ficheiro de circuitos.</t>
  </si>
  <si>
    <t>Circuito desconhecido</t>
  </si>
  <si>
    <t>"1 A/ 1B" (47-LP-50, manhã) não existe no ficheiro de circuitos.</t>
  </si>
  <si>
    <t>Identificar o circuito e a tipologia.</t>
  </si>
  <si>
    <t>Circuito incompleto</t>
  </si>
  <si>
    <t>"Bio" sem número: 58-PF-10 (semana manhã), AN-50-LT e AR-93-SQ (sábado manhã).</t>
  </si>
  <si>
    <t>Indicar o número do circuito BIO.</t>
  </si>
  <si>
    <t>"C.H" (58-PF-10, domingo manhã).</t>
  </si>
  <si>
    <t>Confirmar se é BIO 1 (Centro histórico) ou outro serviço.</t>
  </si>
  <si>
    <t>Viatura em duplicado</t>
  </si>
  <si>
    <t>75-ZQ-24 aparece em 2 linhas na semana à tarde (SELETIVO e MONSTROS). 65-RB-29 aparece 2 vezes no sábado de manhã.</t>
  </si>
  <si>
    <t>Confirmar qual o serviço real.</t>
  </si>
  <si>
    <t>Possível erro de matrícula</t>
  </si>
  <si>
    <t>AT-28-PM aparece só uma vez (semana, noite, PAYT). Nos outros dias o PAYT noite é feito pela AT-98-PM.</t>
  </si>
  <si>
    <t>Confirmar a matrícula.</t>
  </si>
  <si>
    <t>Viatura multi-tipologia</t>
  </si>
  <si>
    <t>60-93-ZG faz C7 (indiferenciados) e BIO 3 (orgânicos) no mesmo turno. 24-ZZ-64 faz C6 de manhã e CARTÃO à tarde.</t>
  </si>
  <si>
    <t>Verificar lavagem da caixa entre fluxos e o registo de pesagens separado.</t>
  </si>
  <si>
    <t>Viaturas sem circuito</t>
  </si>
  <si>
    <t>74-HN-36 e 29-48-XU nunca têm circuito. AJ-49-UO e 65-RB-29 têm linhas extra sem circuito.</t>
  </si>
  <si>
    <t>Confirmar se são reserva, oficina ou equipa de apoio.</t>
  </si>
  <si>
    <t>Circuitos não documentados</t>
  </si>
  <si>
    <t>SELETIVO, RECICLAGEM, CARTÃO, MONSTROS, PAYT, CONTENTORES e LAVAGEM têm viaturas mas não têm localidades nem dias no ficheiro de circuitos.</t>
  </si>
  <si>
    <t>Completar o ficheiro de circuitos com estes serviços.</t>
  </si>
  <si>
    <t>Datas diferentes</t>
  </si>
  <si>
    <t>Semana: 21 a 25/09/2026. Sábado: 19/09/2026. Domingo: 20/09/2026 (fim de semana anterior). Folha FERIADOS CHG: 04/06/2026 (não usada).</t>
  </si>
  <si>
    <t>Garantir que o planeamento de fim de semana é o da mesma semana.</t>
  </si>
  <si>
    <t>Escrita normalizada</t>
  </si>
  <si>
    <t>Corrigido: "Bio 6"→BIO 6, "C 1"→C1, "CA 27 DS"→CA-27-DS, "LAVA-CONTENTORES"/"LAVAGEM"→LAVAGEM CONTENTORES. Circuitos agrupados ("C18/C19") divididos em linhas.</t>
  </si>
  <si>
    <t>Usar lista pendente (validação de dados) no planeamento para evitar variações.</t>
  </si>
  <si>
    <t>Dia</t>
  </si>
  <si>
    <t>Turno</t>
  </si>
  <si>
    <t>Nº tripulantes</t>
  </si>
  <si>
    <t>Circuito (como escrito)</t>
  </si>
  <si>
    <t>Folha de origem</t>
  </si>
  <si>
    <t>Semana (2ª a 6ª)</t>
  </si>
  <si>
    <t>Manhã</t>
  </si>
  <si>
    <t>Serviços &amp; Equipas_SHU (Semana)</t>
  </si>
  <si>
    <t>C7 / BIO 3</t>
  </si>
  <si>
    <t>Circuito agrupado no planeamento</t>
  </si>
  <si>
    <t>Bio 4</t>
  </si>
  <si>
    <t>Bio 6</t>
  </si>
  <si>
    <t>C10/C11</t>
  </si>
  <si>
    <t>C16/C17</t>
  </si>
  <si>
    <t>C18/C19</t>
  </si>
  <si>
    <t>1 A/ 1B</t>
  </si>
  <si>
    <t>Bio</t>
  </si>
  <si>
    <t>LAVAGEM</t>
  </si>
  <si>
    <t>Turno deduzido pelo bloco da folha</t>
  </si>
  <si>
    <t>CHG</t>
  </si>
  <si>
    <t>(vazio)</t>
  </si>
  <si>
    <t>Tarde</t>
  </si>
  <si>
    <t>LAVA-CONTENTORES</t>
  </si>
  <si>
    <t>Noite</t>
  </si>
  <si>
    <t>Serviços &amp; Equipas_SHU (Sábado)</t>
  </si>
  <si>
    <t>C 1</t>
  </si>
  <si>
    <t>Serviços &amp; Equipas_SHU(Domingo)</t>
  </si>
  <si>
    <t>C.H</t>
  </si>
  <si>
    <t>Total de Viaturas</t>
  </si>
  <si>
    <t>Total de RH</t>
  </si>
  <si>
    <t>inconsistências a confirmar</t>
  </si>
  <si>
    <t>-</t>
  </si>
  <si>
    <t>Dados Miguel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</si>
</sst>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4"/>
      <color rgb="FF1F4E3D"/>
      <name val="Arial"/>
      <family val="2"/>
    </font>
    <font>
      <i/>
      <sz val="10"/>
      <color rgb="FF595959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color rgb="FF8B5A2B"/>
      <name val="Arial"/>
      <family val="2"/>
    </font>
    <font>
      <b/>
      <sz val="14"/>
      <color rgb="FF595959"/>
      <name val="Arial"/>
      <family val="2"/>
    </font>
    <font>
      <b/>
      <sz val="14"/>
      <color rgb="FF1F6FB2"/>
      <name val="Arial"/>
      <family val="2"/>
    </font>
    <font>
      <b/>
      <sz val="14"/>
      <color rgb="FF7B3F99"/>
      <name val="Arial"/>
      <family val="2"/>
    </font>
    <font>
      <b/>
      <sz val="14"/>
      <color rgb="FF2E7D32"/>
      <name val="Arial"/>
      <family val="2"/>
    </font>
    <font>
      <b/>
      <sz val="14"/>
      <color rgb="FFC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F4E3D"/>
        <bgColor rgb="FF003366"/>
      </patternFill>
    </fill>
    <fill>
      <patternFill patternType="solid">
        <fgColor rgb="FFE2EFDA"/>
        <bgColor rgb="FFEDEDED"/>
      </patternFill>
    </fill>
    <fill>
      <patternFill patternType="solid">
        <fgColor rgb="FF8B5A2B"/>
        <bgColor rgb="FF595959"/>
      </patternFill>
    </fill>
    <fill>
      <patternFill patternType="solid">
        <fgColor rgb="FFF3E9DD"/>
        <bgColor rgb="FFEDEDED"/>
      </patternFill>
    </fill>
    <fill>
      <patternFill patternType="solid">
        <fgColor rgb="FF595959"/>
        <bgColor rgb="FF8B5A2B"/>
      </patternFill>
    </fill>
    <fill>
      <patternFill patternType="solid">
        <fgColor rgb="FFEDEDED"/>
        <bgColor rgb="FFF3E9DD"/>
      </patternFill>
    </fill>
    <fill>
      <patternFill patternType="solid">
        <fgColor rgb="FF1F6FB2"/>
        <bgColor rgb="FF008080"/>
      </patternFill>
    </fill>
    <fill>
      <patternFill patternType="solid">
        <fgColor rgb="FFDDEBF7"/>
        <bgColor rgb="FFEDEDED"/>
      </patternFill>
    </fill>
    <fill>
      <patternFill patternType="solid">
        <fgColor rgb="FF7B3F99"/>
        <bgColor rgb="FF595959"/>
      </patternFill>
    </fill>
    <fill>
      <patternFill patternType="solid">
        <fgColor rgb="FFEDE0F3"/>
        <bgColor rgb="FFEDEDED"/>
      </patternFill>
    </fill>
    <fill>
      <patternFill patternType="solid">
        <fgColor rgb="FF2E7D32"/>
        <bgColor rgb="FF008000"/>
      </patternFill>
    </fill>
    <fill>
      <patternFill patternType="solid">
        <fgColor theme="5" tint="-0.249977111117893"/>
        <bgColor rgb="FF003366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center"/>
    </xf>
    <xf numFmtId="0" fontId="6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7" fillId="0" borderId="0" xfId="0" applyFont="1"/>
    <xf numFmtId="0" fontId="3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8" fillId="0" borderId="0" xfId="0" applyFont="1"/>
    <xf numFmtId="0" fontId="3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vertical="top" wrapText="1"/>
    </xf>
    <xf numFmtId="0" fontId="4" fillId="9" borderId="1" xfId="0" applyFont="1" applyFill="1" applyBorder="1" applyAlignment="1">
      <alignment vertical="top" wrapText="1"/>
    </xf>
    <xf numFmtId="0" fontId="9" fillId="0" borderId="0" xfId="0" applyFont="1"/>
    <xf numFmtId="0" fontId="3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vertical="top" wrapText="1"/>
    </xf>
    <xf numFmtId="0" fontId="4" fillId="11" borderId="1" xfId="0" applyFont="1" applyFill="1" applyBorder="1" applyAlignment="1">
      <alignment vertical="top" wrapText="1"/>
    </xf>
    <xf numFmtId="0" fontId="10" fillId="0" borderId="0" xfId="0" applyFont="1"/>
    <xf numFmtId="0" fontId="3" fillId="1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11" fillId="0" borderId="0" xfId="0" applyFont="1"/>
    <xf numFmtId="0" fontId="3" fillId="13" borderId="2" xfId="0" applyFont="1" applyFill="1" applyBorder="1" applyAlignment="1">
      <alignment horizontal="center" vertical="center" wrapText="1"/>
    </xf>
    <xf numFmtId="0" fontId="0" fillId="14" borderId="0" xfId="0" applyFill="1"/>
  </cellXfs>
  <cellStyles count="1">
    <cellStyle name="Normal" xfId="0" builtinId="0"/>
  </cellStyles>
  <dxfs count="10">
    <dxf>
      <fill>
        <patternFill>
          <bgColor rgb="FFFFEB9C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ill>
        <patternFill>
          <bgColor rgb="FFFFEB9C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ill>
        <patternFill>
          <bgColor rgb="FFFFEB9C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ill>
        <patternFill>
          <bgColor rgb="FFFFEB9C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ill>
        <patternFill>
          <bgColor rgb="FFFFEB9C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B5A2B"/>
      <rgbColor rgb="FF800080"/>
      <rgbColor rgb="FF008080"/>
      <rgbColor rgb="FFBFBFBF"/>
      <rgbColor rgb="FF878787"/>
      <rgbColor rgb="FF9999FF"/>
      <rgbColor rgb="FF7B3F99"/>
      <rgbColor rgb="FFF3E9DD"/>
      <rgbColor rgb="FFDDEBF7"/>
      <rgbColor rgb="FF660066"/>
      <rgbColor rgb="FFFF8080"/>
      <rgbColor rgb="FF1F6FB2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EB9C"/>
      <rgbColor rgb="FFEDE0F3"/>
      <rgbColor rgb="FFFF99CC"/>
      <rgbColor rgb="FFCC99FF"/>
      <rgbColor rgb="FFF8CBAD"/>
      <rgbColor rgb="FF4F81BD"/>
      <rgbColor rgb="FF33CCCC"/>
      <rgbColor rgb="FF9BBB59"/>
      <rgbColor rgb="FFFFCC00"/>
      <rgbColor rgb="FFFF9900"/>
      <rgbColor rgb="FFFF6600"/>
      <rgbColor rgb="FF595959"/>
      <rgbColor rgb="FF969696"/>
      <rgbColor rgb="FF003366"/>
      <rgbColor rgb="FF2E7D32"/>
      <rgbColor rgb="FF003300"/>
      <rgbColor rgb="FF333300"/>
      <rgbColor rgb="FF993300"/>
      <rgbColor rgb="FFC0504D"/>
      <rgbColor rgb="FF333399"/>
      <rgbColor rgb="FF1F4E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PT" sz="1800" b="1" strike="noStrike" spc="-1">
                <a:solidFill>
                  <a:srgbClr val="000000"/>
                </a:solidFill>
                <a:latin typeface="Calibri"/>
              </a:rPr>
              <a:t>Afetações por tipologia (semana)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Resumo!$D$4</c:f>
              <c:strCache>
                <c:ptCount val="1"/>
                <c:pt idx="0">
                  <c:v>Semana · Manhã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Resumo!$A$5:$A$11</c:f>
              <c:strCache>
                <c:ptCount val="7"/>
                <c:pt idx="0">
                  <c:v>Orgânicos</c:v>
                </c:pt>
                <c:pt idx="1">
                  <c:v>Indiferenciados</c:v>
                </c:pt>
                <c:pt idx="2">
                  <c:v>Recicláveis</c:v>
                </c:pt>
                <c:pt idx="3">
                  <c:v>Volumosos (Monstros)</c:v>
                </c:pt>
                <c:pt idx="4">
                  <c:v>PAYT</c:v>
                </c:pt>
                <c:pt idx="5">
                  <c:v>Serviços de apoio</c:v>
                </c:pt>
                <c:pt idx="6">
                  <c:v>A confirmar</c:v>
                </c:pt>
              </c:strCache>
            </c:strRef>
          </c:cat>
          <c:val>
            <c:numRef>
              <c:f>Resumo!$D$5:$D$11</c:f>
              <c:numCache>
                <c:formatCode>General</c:formatCode>
                <c:ptCount val="7"/>
                <c:pt idx="0">
                  <c:v>4</c:v>
                </c:pt>
                <c:pt idx="1">
                  <c:v>14</c:v>
                </c:pt>
                <c:pt idx="2">
                  <c:v>1</c:v>
                </c:pt>
                <c:pt idx="3">
                  <c:v>4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0F-2849-8D3F-9DA4A8FED56D}"/>
            </c:ext>
          </c:extLst>
        </c:ser>
        <c:ser>
          <c:idx val="1"/>
          <c:order val="1"/>
          <c:tx>
            <c:strRef>
              <c:f>Resumo!$E$4</c:f>
              <c:strCache>
                <c:ptCount val="1"/>
                <c:pt idx="0">
                  <c:v>Semana · Tarde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Resumo!$A$5:$A$11</c:f>
              <c:strCache>
                <c:ptCount val="7"/>
                <c:pt idx="0">
                  <c:v>Orgânicos</c:v>
                </c:pt>
                <c:pt idx="1">
                  <c:v>Indiferenciados</c:v>
                </c:pt>
                <c:pt idx="2">
                  <c:v>Recicláveis</c:v>
                </c:pt>
                <c:pt idx="3">
                  <c:v>Volumosos (Monstros)</c:v>
                </c:pt>
                <c:pt idx="4">
                  <c:v>PAYT</c:v>
                </c:pt>
                <c:pt idx="5">
                  <c:v>Serviços de apoio</c:v>
                </c:pt>
                <c:pt idx="6">
                  <c:v>A confirmar</c:v>
                </c:pt>
              </c:strCache>
            </c:strRef>
          </c:cat>
          <c:val>
            <c:numRef>
              <c:f>Resumo!$E$5:$E$11</c:f>
              <c:numCache>
                <c:formatCode>General</c:formatCode>
                <c:ptCount val="7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0F-2849-8D3F-9DA4A8FED56D}"/>
            </c:ext>
          </c:extLst>
        </c:ser>
        <c:ser>
          <c:idx val="2"/>
          <c:order val="2"/>
          <c:tx>
            <c:strRef>
              <c:f>Resumo!$F$4</c:f>
              <c:strCache>
                <c:ptCount val="1"/>
                <c:pt idx="0">
                  <c:v>Semana · Noite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Resumo!$A$5:$A$11</c:f>
              <c:strCache>
                <c:ptCount val="7"/>
                <c:pt idx="0">
                  <c:v>Orgânicos</c:v>
                </c:pt>
                <c:pt idx="1">
                  <c:v>Indiferenciados</c:v>
                </c:pt>
                <c:pt idx="2">
                  <c:v>Recicláveis</c:v>
                </c:pt>
                <c:pt idx="3">
                  <c:v>Volumosos (Monstros)</c:v>
                </c:pt>
                <c:pt idx="4">
                  <c:v>PAYT</c:v>
                </c:pt>
                <c:pt idx="5">
                  <c:v>Serviços de apoio</c:v>
                </c:pt>
                <c:pt idx="6">
                  <c:v>A confirmar</c:v>
                </c:pt>
              </c:strCache>
            </c:strRef>
          </c:cat>
          <c:val>
            <c:numRef>
              <c:f>Resumo!$F$5:$F$11</c:f>
              <c:numCache>
                <c:formatCode>General</c:formatCode>
                <c:ptCount val="7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0F-2849-8D3F-9DA4A8FED5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756678"/>
        <c:axId val="94610974"/>
      </c:barChart>
      <c:catAx>
        <c:axId val="1675667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PT"/>
          </a:p>
        </c:txPr>
        <c:crossAx val="94610974"/>
        <c:crosses val="autoZero"/>
        <c:auto val="1"/>
        <c:lblAlgn val="ctr"/>
        <c:lblOffset val="100"/>
        <c:noMultiLvlLbl val="0"/>
      </c:catAx>
      <c:valAx>
        <c:axId val="9461097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PT" sz="1000" b="1" strike="noStrike" spc="-1">
                    <a:solidFill>
                      <a:srgbClr val="000000"/>
                    </a:solidFill>
                    <a:latin typeface="Calibri"/>
                  </a:rPr>
                  <a:t>Afetações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PT"/>
          </a:p>
        </c:txPr>
        <c:crossAx val="1675667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P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160560</xdr:rowOff>
    </xdr:from>
    <xdr:to>
      <xdr:col>6</xdr:col>
      <xdr:colOff>699840</xdr:colOff>
      <xdr:row>31</xdr:row>
      <xdr:rowOff>182880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fetacoes" displayName="Afetacoes" ref="A1:K102" totalsRowShown="0">
  <autoFilter ref="A1:K102" xr:uid="{00000000-0009-0000-0100-000001000000}"/>
  <tableColumns count="11">
    <tableColumn id="1" xr3:uid="{00000000-0010-0000-0000-000001000000}" name="Dia"/>
    <tableColumn id="2" xr3:uid="{00000000-0010-0000-0000-000002000000}" name="Turno"/>
    <tableColumn id="3" xr3:uid="{00000000-0010-0000-0000-000003000000}" name="Circuito"/>
    <tableColumn id="4" xr3:uid="{00000000-0010-0000-0000-000004000000}" name="Tipologia"/>
    <tableColumn id="5" xr3:uid="{00000000-0010-0000-0000-000005000000}" name="Matrícula"/>
    <tableColumn id="6" xr3:uid="{00000000-0010-0000-0000-000006000000}" name="Nº tripulantes"/>
    <tableColumn id="7" xr3:uid="{00000000-0010-0000-0000-000007000000}" name="Tipo de recolha"/>
    <tableColumn id="8" xr3:uid="{00000000-0010-0000-0000-000008000000}" name="Localidades"/>
    <tableColumn id="9" xr3:uid="{00000000-0010-0000-0000-000009000000}" name="Circuito (como escrito)"/>
    <tableColumn id="10" xr3:uid="{00000000-0010-0000-0000-00000A000000}" name="Folha de origem"/>
    <tableColumn id="11" xr3:uid="{00000000-0010-0000-0000-00000B000000}" name="Observação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5"/>
  <sheetViews>
    <sheetView zoomScaleNormal="100" workbookViewId="0">
      <selection activeCell="M7" sqref="M7"/>
    </sheetView>
  </sheetViews>
  <sheetFormatPr baseColWidth="10" defaultColWidth="8.6640625" defaultRowHeight="15" x14ac:dyDescent="0.2"/>
  <cols>
    <col min="1" max="1" width="22" customWidth="1"/>
    <col min="2" max="2" width="11" customWidth="1"/>
    <col min="3" max="3" width="13" customWidth="1"/>
    <col min="4" max="6" width="12" customWidth="1"/>
    <col min="7" max="8" width="10" customWidth="1"/>
    <col min="9" max="9" width="13" customWidth="1"/>
    <col min="10" max="10" width="14" customWidth="1"/>
  </cols>
  <sheetData>
    <row r="1" spans="1:13" ht="18" x14ac:dyDescent="0.2">
      <c r="A1" s="1" t="s">
        <v>0</v>
      </c>
    </row>
    <row r="2" spans="1:13" x14ac:dyDescent="0.2">
      <c r="A2" s="2"/>
    </row>
    <row r="4" spans="1:13" ht="31.5" customHeight="1" x14ac:dyDescent="0.2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1" t="s">
        <v>237</v>
      </c>
      <c r="L4" s="31" t="s">
        <v>238</v>
      </c>
    </row>
    <row r="5" spans="1:13" x14ac:dyDescent="0.2">
      <c r="A5" s="4" t="s">
        <v>11</v>
      </c>
      <c r="B5" s="5">
        <f>COUNTIF(Orgânicos!$A$5:$A$200,$A5)</f>
        <v>7</v>
      </c>
      <c r="C5" s="5">
        <f>COUNTIFS(Orgânicos!$A$5:$A$200,$A5,Orgânicos!$N$5:$N$200,"Sem viatura atribuída")</f>
        <v>1</v>
      </c>
      <c r="D5" s="5">
        <f>COUNTIFS(Base_Dados!$D$2:$D$500,$A5,Base_Dados!$A$2:$A$500,"Semana (2ª a 6ª)",Base_Dados!$B$2:$B$500,"Manhã")</f>
        <v>4</v>
      </c>
      <c r="E5" s="5">
        <f>COUNTIFS(Base_Dados!$D$2:$D$500,$A5,Base_Dados!$A$2:$A$500,"Semana (2ª a 6ª)",Base_Dados!$B$2:$B$500,"Tarde")</f>
        <v>3</v>
      </c>
      <c r="F5" s="5">
        <f>COUNTIFS(Base_Dados!$D$2:$D$500,$A5,Base_Dados!$A$2:$A$500,"Semana (2ª a 6ª)",Base_Dados!$B$2:$B$500,"Noite")</f>
        <v>1</v>
      </c>
      <c r="G5" s="5">
        <f>COUNTIFS(Base_Dados!$D$2:$D$500,$A5,Base_Dados!$A$2:$A$500,"Sábado")</f>
        <v>7</v>
      </c>
      <c r="H5" s="5">
        <f>COUNTIFS(Base_Dados!$D$2:$D$500,$A5,Base_Dados!$A$2:$A$500,"Domingo")</f>
        <v>0</v>
      </c>
      <c r="I5" s="5">
        <f t="shared" ref="I5:I11" si="0">SUM(D5:F5)</f>
        <v>8</v>
      </c>
      <c r="J5" s="5">
        <f>SUMIFS(Base_Dados!$F$2:$F$500,Base_Dados!$D$2:$D$500,$A5,Base_Dados!$A$2:$A$500,"Semana (2ª a 6ª)")</f>
        <v>23</v>
      </c>
      <c r="K5" s="32">
        <v>6</v>
      </c>
      <c r="L5" s="32">
        <v>12</v>
      </c>
    </row>
    <row r="6" spans="1:13" x14ac:dyDescent="0.2">
      <c r="A6" s="4" t="s">
        <v>12</v>
      </c>
      <c r="B6" s="5">
        <f>COUNTIF(Indiferenciados!$A$5:$A$200,$A6)</f>
        <v>24</v>
      </c>
      <c r="C6" s="5">
        <f>COUNTIFS(Indiferenciados!$A$5:$A$200,$A6,Indiferenciados!$N$5:$N$200,"Sem viatura atribuída")</f>
        <v>8</v>
      </c>
      <c r="D6" s="5">
        <f>COUNTIFS(Base_Dados!$D$2:$D$500,$A6,Base_Dados!$A$2:$A$500,"Semana (2ª a 6ª)",Base_Dados!$B$2:$B$500,"Manhã")</f>
        <v>14</v>
      </c>
      <c r="E6" s="5">
        <f>COUNTIFS(Base_Dados!$D$2:$D$500,$A6,Base_Dados!$A$2:$A$500,"Semana (2ª a 6ª)",Base_Dados!$B$2:$B$500,"Tarde")</f>
        <v>4</v>
      </c>
      <c r="F6" s="5">
        <f>COUNTIFS(Base_Dados!$D$2:$D$500,$A6,Base_Dados!$A$2:$A$500,"Semana (2ª a 6ª)",Base_Dados!$B$2:$B$500,"Noite")</f>
        <v>0</v>
      </c>
      <c r="G6" s="5">
        <f>COUNTIFS(Base_Dados!$D$2:$D$500,$A6,Base_Dados!$A$2:$A$500,"Sábado")</f>
        <v>18</v>
      </c>
      <c r="H6" s="5">
        <f>COUNTIFS(Base_Dados!$D$2:$D$500,$A6,Base_Dados!$A$2:$A$500,"Domingo")</f>
        <v>1</v>
      </c>
      <c r="I6" s="5">
        <f t="shared" si="0"/>
        <v>18</v>
      </c>
      <c r="J6" s="5">
        <f>SUMIFS(Base_Dados!$F$2:$F$500,Base_Dados!$D$2:$D$500,$A6,Base_Dados!$A$2:$A$500,"Semana (2ª a 6ª)")</f>
        <v>48</v>
      </c>
      <c r="K6" s="32">
        <v>24</v>
      </c>
      <c r="L6" s="32">
        <v>72</v>
      </c>
      <c r="M6" t="s">
        <v>241</v>
      </c>
    </row>
    <row r="7" spans="1:13" x14ac:dyDescent="0.2">
      <c r="A7" s="4" t="s">
        <v>13</v>
      </c>
      <c r="B7" s="5">
        <f>COUNTIF(Recicláveis!$A$5:$A$200,$A7)</f>
        <v>3</v>
      </c>
      <c r="C7" s="5">
        <f>COUNTIFS(Recicláveis!$A$5:$A$200,$A7,Recicláveis!$N$5:$N$200,"Sem viatura atribuída")</f>
        <v>0</v>
      </c>
      <c r="D7" s="5">
        <f>COUNTIFS(Base_Dados!$D$2:$D$500,$A7,Base_Dados!$A$2:$A$500,"Semana (2ª a 6ª)",Base_Dados!$B$2:$B$500,"Manhã")</f>
        <v>1</v>
      </c>
      <c r="E7" s="5">
        <f>COUNTIFS(Base_Dados!$D$2:$D$500,$A7,Base_Dados!$A$2:$A$500,"Semana (2ª a 6ª)",Base_Dados!$B$2:$B$500,"Tarde")</f>
        <v>4</v>
      </c>
      <c r="F7" s="5">
        <f>COUNTIFS(Base_Dados!$D$2:$D$500,$A7,Base_Dados!$A$2:$A$500,"Semana (2ª a 6ª)",Base_Dados!$B$2:$B$500,"Noite")</f>
        <v>0</v>
      </c>
      <c r="G7" s="5">
        <f>COUNTIFS(Base_Dados!$D$2:$D$500,$A7,Base_Dados!$A$2:$A$500,"Sábado")</f>
        <v>3</v>
      </c>
      <c r="H7" s="5">
        <f>COUNTIFS(Base_Dados!$D$2:$D$500,$A7,Base_Dados!$A$2:$A$500,"Domingo")</f>
        <v>0</v>
      </c>
      <c r="I7" s="5">
        <f t="shared" si="0"/>
        <v>5</v>
      </c>
      <c r="J7" s="5">
        <f>SUMIFS(Base_Dados!$F$2:$F$500,Base_Dados!$D$2:$D$500,$A7,Base_Dados!$A$2:$A$500,"Semana (2ª a 6ª)")</f>
        <v>11</v>
      </c>
      <c r="K7" s="32">
        <v>4</v>
      </c>
      <c r="L7" s="32">
        <v>10</v>
      </c>
    </row>
    <row r="8" spans="1:13" x14ac:dyDescent="0.2">
      <c r="A8" s="4" t="s">
        <v>14</v>
      </c>
      <c r="B8" s="5">
        <f>COUNTIF(Volumosos!$A$5:$A$200,$A8)</f>
        <v>1</v>
      </c>
      <c r="C8" s="5">
        <f>COUNTIFS(Volumosos!$A$5:$A$200,$A8,Volumosos!$N$5:$N$200,"Sem viatura atribuída")</f>
        <v>0</v>
      </c>
      <c r="D8" s="5">
        <f>COUNTIFS(Base_Dados!$D$2:$D$500,$A8,Base_Dados!$A$2:$A$500,"Semana (2ª a 6ª)",Base_Dados!$B$2:$B$500,"Manhã")</f>
        <v>4</v>
      </c>
      <c r="E8" s="5">
        <f>COUNTIFS(Base_Dados!$D$2:$D$500,$A8,Base_Dados!$A$2:$A$500,"Semana (2ª a 6ª)",Base_Dados!$B$2:$B$500,"Tarde")</f>
        <v>2</v>
      </c>
      <c r="F8" s="5">
        <f>COUNTIFS(Base_Dados!$D$2:$D$500,$A8,Base_Dados!$A$2:$A$500,"Semana (2ª a 6ª)",Base_Dados!$B$2:$B$500,"Noite")</f>
        <v>0</v>
      </c>
      <c r="G8" s="5">
        <f>COUNTIFS(Base_Dados!$D$2:$D$500,$A8,Base_Dados!$A$2:$A$500,"Sábado")</f>
        <v>5</v>
      </c>
      <c r="H8" s="5">
        <f>COUNTIFS(Base_Dados!$D$2:$D$500,$A8,Base_Dados!$A$2:$A$500,"Domingo")</f>
        <v>0</v>
      </c>
      <c r="I8" s="5">
        <f t="shared" si="0"/>
        <v>6</v>
      </c>
      <c r="J8" s="5">
        <f>SUMIFS(Base_Dados!$F$2:$F$500,Base_Dados!$D$2:$D$500,$A8,Base_Dados!$A$2:$A$500,"Semana (2ª a 6ª)")</f>
        <v>7</v>
      </c>
      <c r="K8" t="s">
        <v>240</v>
      </c>
      <c r="L8" t="s">
        <v>240</v>
      </c>
    </row>
    <row r="9" spans="1:13" x14ac:dyDescent="0.2">
      <c r="A9" s="4" t="s">
        <v>15</v>
      </c>
      <c r="B9" s="5">
        <f>COUNTIF('Outros serviços'!$A$5:$A$200,$A9)</f>
        <v>1</v>
      </c>
      <c r="C9" s="5">
        <f>COUNTIFS('Outros serviços'!$A$5:$A$200,$A9,'Outros serviços'!$N$5:$N$200,"Sem viatura atribuída")</f>
        <v>0</v>
      </c>
      <c r="D9" s="5">
        <f>COUNTIFS(Base_Dados!$D$2:$D$500,$A9,Base_Dados!$A$2:$A$500,"Semana (2ª a 6ª)",Base_Dados!$B$2:$B$500,"Manhã")</f>
        <v>1</v>
      </c>
      <c r="E9" s="5">
        <f>COUNTIFS(Base_Dados!$D$2:$D$500,$A9,Base_Dados!$A$2:$A$500,"Semana (2ª a 6ª)",Base_Dados!$B$2:$B$500,"Tarde")</f>
        <v>1</v>
      </c>
      <c r="F9" s="5">
        <f>COUNTIFS(Base_Dados!$D$2:$D$500,$A9,Base_Dados!$A$2:$A$500,"Semana (2ª a 6ª)",Base_Dados!$B$2:$B$500,"Noite")</f>
        <v>2</v>
      </c>
      <c r="G9" s="5">
        <f>COUNTIFS(Base_Dados!$D$2:$D$500,$A9,Base_Dados!$A$2:$A$500,"Sábado")</f>
        <v>4</v>
      </c>
      <c r="H9" s="5">
        <f>COUNTIFS(Base_Dados!$D$2:$D$500,$A9,Base_Dados!$A$2:$A$500,"Domingo")</f>
        <v>4</v>
      </c>
      <c r="I9" s="5">
        <f t="shared" si="0"/>
        <v>4</v>
      </c>
      <c r="J9" s="5">
        <f>SUMIFS(Base_Dados!$F$2:$F$500,Base_Dados!$D$2:$D$500,$A9,Base_Dados!$A$2:$A$500,"Semana (2ª a 6ª)")</f>
        <v>6</v>
      </c>
      <c r="K9" t="s">
        <v>240</v>
      </c>
      <c r="L9" t="s">
        <v>240</v>
      </c>
    </row>
    <row r="10" spans="1:13" x14ac:dyDescent="0.2">
      <c r="A10" s="4" t="s">
        <v>16</v>
      </c>
      <c r="B10" s="5">
        <f>COUNTIF('Outros serviços'!$A$5:$A$200,$A10)</f>
        <v>2</v>
      </c>
      <c r="C10" s="5">
        <f>COUNTIFS('Outros serviços'!$A$5:$A$200,$A10,'Outros serviços'!$N$5:$N$200,"Sem viatura atribuída")</f>
        <v>0</v>
      </c>
      <c r="D10" s="5">
        <f>COUNTIFS(Base_Dados!$D$2:$D$500,$A10,Base_Dados!$A$2:$A$500,"Semana (2ª a 6ª)",Base_Dados!$B$2:$B$500,"Manhã")</f>
        <v>2</v>
      </c>
      <c r="E10" s="5">
        <f>COUNTIFS(Base_Dados!$D$2:$D$500,$A10,Base_Dados!$A$2:$A$500,"Semana (2ª a 6ª)",Base_Dados!$B$2:$B$500,"Tarde")</f>
        <v>1</v>
      </c>
      <c r="F10" s="5">
        <f>COUNTIFS(Base_Dados!$D$2:$D$500,$A10,Base_Dados!$A$2:$A$500,"Semana (2ª a 6ª)",Base_Dados!$B$2:$B$500,"Noite")</f>
        <v>0</v>
      </c>
      <c r="G10" s="5">
        <f>COUNTIFS(Base_Dados!$D$2:$D$500,$A10,Base_Dados!$A$2:$A$500,"Sábado")</f>
        <v>1</v>
      </c>
      <c r="H10" s="5">
        <f>COUNTIFS(Base_Dados!$D$2:$D$500,$A10,Base_Dados!$A$2:$A$500,"Domingo")</f>
        <v>0</v>
      </c>
      <c r="I10" s="5">
        <f t="shared" si="0"/>
        <v>3</v>
      </c>
      <c r="J10" s="5">
        <f>SUMIFS(Base_Dados!$F$2:$F$500,Base_Dados!$D$2:$D$500,$A10,Base_Dados!$A$2:$A$500,"Semana (2ª a 6ª)")</f>
        <v>3</v>
      </c>
      <c r="K10" t="s">
        <v>240</v>
      </c>
      <c r="L10" t="s">
        <v>240</v>
      </c>
    </row>
    <row r="11" spans="1:13" x14ac:dyDescent="0.2">
      <c r="A11" s="4" t="s">
        <v>17</v>
      </c>
      <c r="B11" s="5">
        <f>COUNTIF('Outros serviços'!$A$5:$A$200,$A11)</f>
        <v>2</v>
      </c>
      <c r="C11" s="5">
        <f>COUNTIFS('Outros serviços'!$A$5:$A$200,$A11,'Outros serviços'!$N$5:$N$200,"Sem viatura atribuída")</f>
        <v>0</v>
      </c>
      <c r="D11" s="5">
        <f>COUNTIFS(Base_Dados!$D$2:$D$500,$A11,Base_Dados!$A$2:$A$500,"Semana (2ª a 6ª)",Base_Dados!$B$2:$B$500,"Manhã")</f>
        <v>1</v>
      </c>
      <c r="E11" s="5">
        <f>COUNTIFS(Base_Dados!$D$2:$D$500,$A11,Base_Dados!$A$2:$A$500,"Semana (2ª a 6ª)",Base_Dados!$B$2:$B$500,"Tarde")</f>
        <v>0</v>
      </c>
      <c r="F11" s="5">
        <f>COUNTIFS(Base_Dados!$D$2:$D$500,$A11,Base_Dados!$A$2:$A$500,"Semana (2ª a 6ª)",Base_Dados!$B$2:$B$500,"Noite")</f>
        <v>0</v>
      </c>
      <c r="G11" s="5">
        <f>COUNTIFS(Base_Dados!$D$2:$D$500,$A11,Base_Dados!$A$2:$A$500,"Sábado")</f>
        <v>1</v>
      </c>
      <c r="H11" s="5">
        <f>COUNTIFS(Base_Dados!$D$2:$D$500,$A11,Base_Dados!$A$2:$A$500,"Domingo")</f>
        <v>1</v>
      </c>
      <c r="I11" s="5">
        <f t="shared" si="0"/>
        <v>1</v>
      </c>
      <c r="J11" s="5">
        <f>SUMIFS(Base_Dados!$F$2:$F$500,Base_Dados!$D$2:$D$500,$A11,Base_Dados!$A$2:$A$500,"Semana (2ª a 6ª)")</f>
        <v>3</v>
      </c>
      <c r="K11" t="s">
        <v>240</v>
      </c>
      <c r="L11" t="s">
        <v>240</v>
      </c>
    </row>
    <row r="12" spans="1:13" x14ac:dyDescent="0.2">
      <c r="A12" s="6" t="s">
        <v>18</v>
      </c>
      <c r="B12" s="7">
        <f t="shared" ref="B12:J12" si="1">SUM(B5:B11)</f>
        <v>40</v>
      </c>
      <c r="C12" s="7">
        <f t="shared" si="1"/>
        <v>9</v>
      </c>
      <c r="D12" s="7">
        <f t="shared" si="1"/>
        <v>27</v>
      </c>
      <c r="E12" s="7">
        <f t="shared" si="1"/>
        <v>15</v>
      </c>
      <c r="F12" s="7">
        <f t="shared" si="1"/>
        <v>3</v>
      </c>
      <c r="G12" s="7">
        <f t="shared" si="1"/>
        <v>39</v>
      </c>
      <c r="H12" s="7">
        <f t="shared" si="1"/>
        <v>6</v>
      </c>
      <c r="I12" s="7">
        <f t="shared" si="1"/>
        <v>45</v>
      </c>
      <c r="J12" s="7">
        <f t="shared" si="1"/>
        <v>101</v>
      </c>
    </row>
    <row r="14" spans="1:13" x14ac:dyDescent="0.2">
      <c r="A14" s="2"/>
    </row>
    <row r="15" spans="1:13" x14ac:dyDescent="0.2">
      <c r="A15" s="2"/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1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F14" sqref="F14"/>
    </sheetView>
  </sheetViews>
  <sheetFormatPr baseColWidth="10" defaultColWidth="8.6640625" defaultRowHeight="15" x14ac:dyDescent="0.2"/>
  <cols>
    <col min="1" max="1" width="16" customWidth="1"/>
    <col min="2" max="2" width="20" customWidth="1"/>
    <col min="3" max="3" width="12" customWidth="1"/>
    <col min="4" max="4" width="32" customWidth="1"/>
    <col min="5" max="5" width="20" customWidth="1"/>
    <col min="6" max="6" width="13" customWidth="1"/>
    <col min="7" max="9" width="14" customWidth="1"/>
    <col min="10" max="10" width="24" customWidth="1"/>
    <col min="11" max="11" width="20" customWidth="1"/>
    <col min="12" max="13" width="11" customWidth="1"/>
    <col min="14" max="14" width="18" customWidth="1"/>
    <col min="15" max="15" width="40" customWidth="1"/>
  </cols>
  <sheetData>
    <row r="1" spans="1:15" ht="18" x14ac:dyDescent="0.2">
      <c r="A1" s="8" t="s">
        <v>19</v>
      </c>
    </row>
    <row r="2" spans="1:15" x14ac:dyDescent="0.2">
      <c r="A2" s="2"/>
    </row>
    <row r="4" spans="1:15" ht="31.5" customHeight="1" x14ac:dyDescent="0.2">
      <c r="A4" s="9" t="s">
        <v>1</v>
      </c>
      <c r="B4" s="9" t="s">
        <v>20</v>
      </c>
      <c r="C4" s="9" t="s">
        <v>21</v>
      </c>
      <c r="D4" s="9" t="s">
        <v>22</v>
      </c>
      <c r="E4" s="9" t="s">
        <v>23</v>
      </c>
      <c r="F4" s="9" t="s">
        <v>24</v>
      </c>
      <c r="G4" s="9" t="s">
        <v>4</v>
      </c>
      <c r="H4" s="9" t="s">
        <v>5</v>
      </c>
      <c r="I4" s="9" t="s">
        <v>6</v>
      </c>
      <c r="J4" s="9" t="s">
        <v>7</v>
      </c>
      <c r="K4" s="9" t="s">
        <v>8</v>
      </c>
      <c r="L4" s="9" t="s">
        <v>25</v>
      </c>
      <c r="M4" s="9" t="s">
        <v>26</v>
      </c>
      <c r="N4" s="9" t="s">
        <v>27</v>
      </c>
      <c r="O4" s="9" t="s">
        <v>28</v>
      </c>
    </row>
    <row r="5" spans="1:15" ht="28" x14ac:dyDescent="0.2">
      <c r="A5" s="10" t="s">
        <v>11</v>
      </c>
      <c r="B5" s="11" t="s">
        <v>29</v>
      </c>
      <c r="C5" s="12" t="s">
        <v>30</v>
      </c>
      <c r="D5" s="12" t="s">
        <v>31</v>
      </c>
      <c r="E5" s="12" t="s">
        <v>32</v>
      </c>
      <c r="F5" s="12" t="s">
        <v>33</v>
      </c>
      <c r="G5" s="12" t="str">
        <f t="array" ref="G5">_xlfn.TEXTJOIN(", ",TRUE(),IF((Base_Dados!$C$2:$C$500=$B5)*(Base_Dados!$A$2:$A$500="Semana (2ª a 6ª)")*(Base_Dados!$B$2:$B$500="Manhã"),Base_Dados!$E$2:$E$500,""))</f>
        <v/>
      </c>
      <c r="H5" s="12" t="str">
        <f t="array" ref="H5">_xlfn.TEXTJOIN(", ",TRUE(),IF((Base_Dados!$C$2:$C$500=$B5)*(Base_Dados!$A$2:$A$500="Semana (2ª a 6ª)")*(Base_Dados!$B$2:$B$500="Tarde"),Base_Dados!$E$2:$E$500,""))</f>
        <v>AR-93-SQ</v>
      </c>
      <c r="I5" s="12" t="str">
        <f t="array" ref="I5">_xlfn.TEXTJOIN(", ",TRUE(),IF((Base_Dados!$C$2:$C$500=$B5)*(Base_Dados!$A$2:$A$500="Semana (2ª a 6ª)")*(Base_Dados!$B$2:$B$500="Noite"),Base_Dados!$E$2:$E$500,""))</f>
        <v>AR-81-SQ</v>
      </c>
      <c r="J5" s="12" t="str">
        <f t="array" ref="J5">_xlfn.TEXTJOIN(", ",TRUE(),IF((Base_Dados!$C$2:$C$500=$B5)*(Base_Dados!$A$2:$A$500="Sábado"),Base_Dados!$E$2:$E$500&amp;" ("&amp;Base_Dados!$B$2:$B$500&amp;")",""))</f>
        <v>AR-81-SQ (Tarde), AR-81-SQ (Noite)</v>
      </c>
      <c r="K5" s="12" t="str">
        <f t="array" ref="K5">_xlfn.TEXTJOIN(", ",TRUE(),IF((Base_Dados!$C$2:$C$500=$B5)*(Base_Dados!$A$2:$A$500="Domingo"),Base_Dados!$E$2:$E$500&amp;" ("&amp;Base_Dados!$B$2:$B$500&amp;")",""))</f>
        <v/>
      </c>
      <c r="L5" s="12">
        <f>COUNTIFS(Base_Dados!$C$2:$C$500,$B5,Base_Dados!$A$2:$A$500,"Semana (2ª a 6ª)")</f>
        <v>2</v>
      </c>
      <c r="M5" s="12">
        <f>COUNTIF(Base_Dados!$C$2:$C$500,$B5)</f>
        <v>4</v>
      </c>
      <c r="N5" s="12" t="str">
        <f t="shared" ref="N5:N11" si="0">IF(M5=0,"Sem viatura atribuída",IF(L5=0,"Só ao fim de semana","OK"))</f>
        <v>OK</v>
      </c>
      <c r="O5" s="12"/>
    </row>
    <row r="6" spans="1:15" ht="42" x14ac:dyDescent="0.2">
      <c r="A6" s="10" t="s">
        <v>11</v>
      </c>
      <c r="B6" s="11" t="s">
        <v>34</v>
      </c>
      <c r="C6" s="12" t="s">
        <v>35</v>
      </c>
      <c r="D6" s="12" t="s">
        <v>36</v>
      </c>
      <c r="E6" s="12" t="s">
        <v>32</v>
      </c>
      <c r="F6" s="12" t="s">
        <v>37</v>
      </c>
      <c r="G6" s="12" t="str">
        <f t="array" ref="G6">_xlfn.TEXTJOIN(", ",TRUE(),IF((Base_Dados!$C$2:$C$500=$B6)*(Base_Dados!$A$2:$A$500="Semana (2ª a 6ª)")*(Base_Dados!$B$2:$B$500="Manhã"),Base_Dados!$E$2:$E$500,""))</f>
        <v/>
      </c>
      <c r="H6" s="12" t="str">
        <f t="array" ref="H6">_xlfn.TEXTJOIN(", ",TRUE(),IF((Base_Dados!$C$2:$C$500=$B6)*(Base_Dados!$A$2:$A$500="Semana (2ª a 6ª)")*(Base_Dados!$B$2:$B$500="Tarde"),Base_Dados!$E$2:$E$500,""))</f>
        <v>AR-81-SQ</v>
      </c>
      <c r="I6" s="12" t="str">
        <f t="array" ref="I6">_xlfn.TEXTJOIN(", ",TRUE(),IF((Base_Dados!$C$2:$C$500=$B6)*(Base_Dados!$A$2:$A$500="Semana (2ª a 6ª)")*(Base_Dados!$B$2:$B$500="Noite"),Base_Dados!$E$2:$E$500,""))</f>
        <v/>
      </c>
      <c r="J6" s="12" t="str">
        <f t="array" ref="J6">_xlfn.TEXTJOIN(", ",TRUE(),IF((Base_Dados!$C$2:$C$500=$B6)*(Base_Dados!$A$2:$A$500="Sábado"),Base_Dados!$E$2:$E$500&amp;" ("&amp;Base_Dados!$B$2:$B$500&amp;")",""))</f>
        <v>AR-93-SQ (Tarde)</v>
      </c>
      <c r="K6" s="12" t="str">
        <f t="array" ref="K6">_xlfn.TEXTJOIN(", ",TRUE(),IF((Base_Dados!$C$2:$C$500=$B6)*(Base_Dados!$A$2:$A$500="Domingo"),Base_Dados!$E$2:$E$500&amp;" ("&amp;Base_Dados!$B$2:$B$500&amp;")",""))</f>
        <v/>
      </c>
      <c r="L6" s="12">
        <f>COUNTIFS(Base_Dados!$C$2:$C$500,$B6,Base_Dados!$A$2:$A$500,"Semana (2ª a 6ª)")</f>
        <v>1</v>
      </c>
      <c r="M6" s="12">
        <f>COUNTIF(Base_Dados!$C$2:$C$500,$B6)</f>
        <v>2</v>
      </c>
      <c r="N6" s="12" t="str">
        <f t="shared" si="0"/>
        <v>OK</v>
      </c>
      <c r="O6" s="12"/>
    </row>
    <row r="7" spans="1:15" ht="28" x14ac:dyDescent="0.2">
      <c r="A7" s="10" t="s">
        <v>11</v>
      </c>
      <c r="B7" s="11" t="s">
        <v>38</v>
      </c>
      <c r="C7" s="12" t="s">
        <v>35</v>
      </c>
      <c r="D7" s="12" t="s">
        <v>39</v>
      </c>
      <c r="E7" s="12" t="s">
        <v>40</v>
      </c>
      <c r="F7" s="12" t="s">
        <v>41</v>
      </c>
      <c r="G7" s="12" t="str">
        <f t="array" ref="G7">_xlfn.TEXTJOIN(", ",TRUE(),IF((Base_Dados!$C$2:$C$500=$B7)*(Base_Dados!$A$2:$A$500="Semana (2ª a 6ª)")*(Base_Dados!$B$2:$B$500="Manhã"),Base_Dados!$E$2:$E$500,""))</f>
        <v>60-93-ZG</v>
      </c>
      <c r="H7" s="12" t="str">
        <f t="array" ref="H7">_xlfn.TEXTJOIN(", ",TRUE(),IF((Base_Dados!$C$2:$C$500=$B7)*(Base_Dados!$A$2:$A$500="Semana (2ª a 6ª)")*(Base_Dados!$B$2:$B$500="Tarde"),Base_Dados!$E$2:$E$500,""))</f>
        <v>AS-75-SG</v>
      </c>
      <c r="I7" s="12" t="str">
        <f t="array" ref="I7">_xlfn.TEXTJOIN(", ",TRUE(),IF((Base_Dados!$C$2:$C$500=$B7)*(Base_Dados!$A$2:$A$500="Semana (2ª a 6ª)")*(Base_Dados!$B$2:$B$500="Noite"),Base_Dados!$E$2:$E$500,""))</f>
        <v/>
      </c>
      <c r="J7" s="12" t="str">
        <f t="array" ref="J7">_xlfn.TEXTJOIN(", ",TRUE(),IF((Base_Dados!$C$2:$C$500=$B7)*(Base_Dados!$A$2:$A$500="Sábado"),Base_Dados!$E$2:$E$500&amp;" ("&amp;Base_Dados!$B$2:$B$500&amp;")",""))</f>
        <v>60-93-ZG (Manhã), AS-75-SG (Tarde)</v>
      </c>
      <c r="K7" s="12" t="str">
        <f t="array" ref="K7">_xlfn.TEXTJOIN(", ",TRUE(),IF((Base_Dados!$C$2:$C$500=$B7)*(Base_Dados!$A$2:$A$500="Domingo"),Base_Dados!$E$2:$E$500&amp;" ("&amp;Base_Dados!$B$2:$B$500&amp;")",""))</f>
        <v/>
      </c>
      <c r="L7" s="12">
        <f>COUNTIFS(Base_Dados!$C$2:$C$500,$B7,Base_Dados!$A$2:$A$500,"Semana (2ª a 6ª)")</f>
        <v>2</v>
      </c>
      <c r="M7" s="12">
        <f>COUNTIF(Base_Dados!$C$2:$C$500,$B7)</f>
        <v>4</v>
      </c>
      <c r="N7" s="12" t="str">
        <f t="shared" si="0"/>
        <v>OK</v>
      </c>
      <c r="O7" s="12"/>
    </row>
    <row r="8" spans="1:15" ht="84" x14ac:dyDescent="0.2">
      <c r="A8" s="10" t="s">
        <v>11</v>
      </c>
      <c r="B8" s="11" t="s">
        <v>42</v>
      </c>
      <c r="C8" s="12" t="s">
        <v>35</v>
      </c>
      <c r="D8" s="12" t="s">
        <v>43</v>
      </c>
      <c r="E8" s="12"/>
      <c r="F8" s="12" t="s">
        <v>33</v>
      </c>
      <c r="G8" s="12" t="str">
        <f t="array" ref="G8">_xlfn.TEXTJOIN(", ",TRUE(),IF((Base_Dados!$C$2:$C$500=$B8)*(Base_Dados!$A$2:$A$500="Semana (2ª a 6ª)")*(Base_Dados!$B$2:$B$500="Manhã"),Base_Dados!$E$2:$E$500,""))</f>
        <v>AR-93-SQ</v>
      </c>
      <c r="H8" s="12" t="str">
        <f t="array" ref="H8">_xlfn.TEXTJOIN(", ",TRUE(),IF((Base_Dados!$C$2:$C$500=$B8)*(Base_Dados!$A$2:$A$500="Semana (2ª a 6ª)")*(Base_Dados!$B$2:$B$500="Tarde"),Base_Dados!$E$2:$E$500,""))</f>
        <v/>
      </c>
      <c r="I8" s="12" t="str">
        <f t="array" ref="I8">_xlfn.TEXTJOIN(", ",TRUE(),IF((Base_Dados!$C$2:$C$500=$B8)*(Base_Dados!$A$2:$A$500="Semana (2ª a 6ª)")*(Base_Dados!$B$2:$B$500="Noite"),Base_Dados!$E$2:$E$500,""))</f>
        <v/>
      </c>
      <c r="J8" s="12" t="str">
        <f t="array" ref="J8">_xlfn.TEXTJOIN(", ",TRUE(),IF((Base_Dados!$C$2:$C$500=$B8)*(Base_Dados!$A$2:$A$500="Sábado"),Base_Dados!$E$2:$E$500&amp;" ("&amp;Base_Dados!$B$2:$B$500&amp;")",""))</f>
        <v/>
      </c>
      <c r="K8" s="12" t="str">
        <f t="array" ref="K8">_xlfn.TEXTJOIN(", ",TRUE(),IF((Base_Dados!$C$2:$C$500=$B8)*(Base_Dados!$A$2:$A$500="Domingo"),Base_Dados!$E$2:$E$500&amp;" ("&amp;Base_Dados!$B$2:$B$500&amp;")",""))</f>
        <v/>
      </c>
      <c r="L8" s="12">
        <f>COUNTIFS(Base_Dados!$C$2:$C$500,$B8,Base_Dados!$A$2:$A$500,"Semana (2ª a 6ª)")</f>
        <v>1</v>
      </c>
      <c r="M8" s="12">
        <f>COUNTIF(Base_Dados!$C$2:$C$500,$B8)</f>
        <v>1</v>
      </c>
      <c r="N8" s="12" t="str">
        <f t="shared" si="0"/>
        <v>OK</v>
      </c>
      <c r="O8" s="12"/>
    </row>
    <row r="9" spans="1:15" ht="28" x14ac:dyDescent="0.2">
      <c r="A9" s="10" t="s">
        <v>11</v>
      </c>
      <c r="B9" s="11" t="s">
        <v>44</v>
      </c>
      <c r="C9" s="12" t="s">
        <v>35</v>
      </c>
      <c r="D9" s="12" t="s">
        <v>45</v>
      </c>
      <c r="E9" s="12"/>
      <c r="F9" s="12"/>
      <c r="G9" s="12" t="str">
        <f t="array" ref="G9">_xlfn.TEXTJOIN(", ",TRUE(),IF((Base_Dados!$C$2:$C$500=$B9)*(Base_Dados!$A$2:$A$500="Semana (2ª a 6ª)")*(Base_Dados!$B$2:$B$500="Manhã"),Base_Dados!$E$2:$E$500,""))</f>
        <v/>
      </c>
      <c r="H9" s="12" t="str">
        <f t="array" ref="H9">_xlfn.TEXTJOIN(", ",TRUE(),IF((Base_Dados!$C$2:$C$500=$B9)*(Base_Dados!$A$2:$A$500="Semana (2ª a 6ª)")*(Base_Dados!$B$2:$B$500="Tarde"),Base_Dados!$E$2:$E$500,""))</f>
        <v/>
      </c>
      <c r="I9" s="12" t="str">
        <f t="array" ref="I9">_xlfn.TEXTJOIN(", ",TRUE(),IF((Base_Dados!$C$2:$C$500=$B9)*(Base_Dados!$A$2:$A$500="Semana (2ª a 6ª)")*(Base_Dados!$B$2:$B$500="Noite"),Base_Dados!$E$2:$E$500,""))</f>
        <v/>
      </c>
      <c r="J9" s="12" t="str">
        <f t="array" ref="J9">_xlfn.TEXTJOIN(", ",TRUE(),IF((Base_Dados!$C$2:$C$500=$B9)*(Base_Dados!$A$2:$A$500="Sábado"),Base_Dados!$E$2:$E$500&amp;" ("&amp;Base_Dados!$B$2:$B$500&amp;")",""))</f>
        <v/>
      </c>
      <c r="K9" s="12" t="str">
        <f t="array" ref="K9">_xlfn.TEXTJOIN(", ",TRUE(),IF((Base_Dados!$C$2:$C$500=$B9)*(Base_Dados!$A$2:$A$500="Domingo"),Base_Dados!$E$2:$E$500&amp;" ("&amp;Base_Dados!$B$2:$B$500&amp;")",""))</f>
        <v/>
      </c>
      <c r="L9" s="12">
        <f>COUNTIFS(Base_Dados!$C$2:$C$500,$B9,Base_Dados!$A$2:$A$500,"Semana (2ª a 6ª)")</f>
        <v>0</v>
      </c>
      <c r="M9" s="12">
        <f>COUNTIF(Base_Dados!$C$2:$C$500,$B9)</f>
        <v>0</v>
      </c>
      <c r="N9" s="12" t="str">
        <f t="shared" si="0"/>
        <v>Sem viatura atribuída</v>
      </c>
      <c r="O9" s="12"/>
    </row>
    <row r="10" spans="1:15" ht="28" x14ac:dyDescent="0.2">
      <c r="A10" s="10" t="s">
        <v>11</v>
      </c>
      <c r="B10" s="11" t="s">
        <v>46</v>
      </c>
      <c r="C10" s="12" t="s">
        <v>35</v>
      </c>
      <c r="D10" s="12" t="s">
        <v>47</v>
      </c>
      <c r="E10" s="12" t="s">
        <v>48</v>
      </c>
      <c r="F10" s="12" t="s">
        <v>49</v>
      </c>
      <c r="G10" s="12" t="str">
        <f t="array" ref="G10">_xlfn.TEXTJOIN(", ",TRUE(),IF((Base_Dados!$C$2:$C$500=$B10)*(Base_Dados!$A$2:$A$500="Semana (2ª a 6ª)")*(Base_Dados!$B$2:$B$500="Manhã"),Base_Dados!$E$2:$E$500,""))</f>
        <v>AN-50-LT</v>
      </c>
      <c r="H10" s="12" t="str">
        <f t="array" ref="H10">_xlfn.TEXTJOIN(", ",TRUE(),IF((Base_Dados!$C$2:$C$500=$B10)*(Base_Dados!$A$2:$A$500="Semana (2ª a 6ª)")*(Base_Dados!$B$2:$B$500="Tarde"),Base_Dados!$E$2:$E$500,""))</f>
        <v/>
      </c>
      <c r="I10" s="12" t="str">
        <f t="array" ref="I10">_xlfn.TEXTJOIN(", ",TRUE(),IF((Base_Dados!$C$2:$C$500=$B10)*(Base_Dados!$A$2:$A$500="Semana (2ª a 6ª)")*(Base_Dados!$B$2:$B$500="Noite"),Base_Dados!$E$2:$E$500,""))</f>
        <v/>
      </c>
      <c r="J10" s="12" t="str">
        <f t="array" ref="J10">_xlfn.TEXTJOIN(", ",TRUE(),IF((Base_Dados!$C$2:$C$500=$B10)*(Base_Dados!$A$2:$A$500="Sábado"),Base_Dados!$E$2:$E$500&amp;" ("&amp;Base_Dados!$B$2:$B$500&amp;")",""))</f>
        <v/>
      </c>
      <c r="K10" s="12" t="str">
        <f t="array" ref="K10">_xlfn.TEXTJOIN(", ",TRUE(),IF((Base_Dados!$C$2:$C$500=$B10)*(Base_Dados!$A$2:$A$500="Domingo"),Base_Dados!$E$2:$E$500&amp;" ("&amp;Base_Dados!$B$2:$B$500&amp;")",""))</f>
        <v/>
      </c>
      <c r="L10" s="12">
        <f>COUNTIFS(Base_Dados!$C$2:$C$500,$B10,Base_Dados!$A$2:$A$500,"Semana (2ª a 6ª)")</f>
        <v>1</v>
      </c>
      <c r="M10" s="12">
        <f>COUNTIF(Base_Dados!$C$2:$C$500,$B10)</f>
        <v>1</v>
      </c>
      <c r="N10" s="12" t="str">
        <f t="shared" si="0"/>
        <v>OK</v>
      </c>
      <c r="O10" s="12"/>
    </row>
    <row r="11" spans="1:15" ht="28" x14ac:dyDescent="0.2">
      <c r="A11" s="10" t="s">
        <v>11</v>
      </c>
      <c r="B11" s="11" t="s">
        <v>50</v>
      </c>
      <c r="C11" s="12"/>
      <c r="D11" s="12"/>
      <c r="E11" s="12"/>
      <c r="F11" s="12"/>
      <c r="G11" s="12" t="str">
        <f t="array" ref="G11">_xlfn.TEXTJOIN(", ",TRUE(),IF((Base_Dados!$C$2:$C$500=$B11)*(Base_Dados!$A$2:$A$500="Semana (2ª a 6ª)")*(Base_Dados!$B$2:$B$500="Manhã"),Base_Dados!$E$2:$E$500,""))</f>
        <v>58-PF-10</v>
      </c>
      <c r="H11" s="12" t="str">
        <f t="array" ref="H11">_xlfn.TEXTJOIN(", ",TRUE(),IF((Base_Dados!$C$2:$C$500=$B11)*(Base_Dados!$A$2:$A$500="Semana (2ª a 6ª)")*(Base_Dados!$B$2:$B$500="Tarde"),Base_Dados!$E$2:$E$500,""))</f>
        <v/>
      </c>
      <c r="I11" s="12" t="str">
        <f t="array" ref="I11">_xlfn.TEXTJOIN(", ",TRUE(),IF((Base_Dados!$C$2:$C$500=$B11)*(Base_Dados!$A$2:$A$500="Semana (2ª a 6ª)")*(Base_Dados!$B$2:$B$500="Noite"),Base_Dados!$E$2:$E$500,""))</f>
        <v/>
      </c>
      <c r="J11" s="12" t="str">
        <f t="array" ref="J11">_xlfn.TEXTJOIN(", ",TRUE(),IF((Base_Dados!$C$2:$C$500=$B11)*(Base_Dados!$A$2:$A$500="Sábado"),Base_Dados!$E$2:$E$500&amp;" ("&amp;Base_Dados!$B$2:$B$500&amp;")",""))</f>
        <v>AN-50-LT (Manhã), AR-93-SQ (Manhã)</v>
      </c>
      <c r="K11" s="12" t="str">
        <f t="array" ref="K11">_xlfn.TEXTJOIN(", ",TRUE(),IF((Base_Dados!$C$2:$C$500=$B11)*(Base_Dados!$A$2:$A$500="Domingo"),Base_Dados!$E$2:$E$500&amp;" ("&amp;Base_Dados!$B$2:$B$500&amp;")",""))</f>
        <v/>
      </c>
      <c r="L11" s="12">
        <f>COUNTIFS(Base_Dados!$C$2:$C$500,$B11,Base_Dados!$A$2:$A$500,"Semana (2ª a 6ª)")</f>
        <v>1</v>
      </c>
      <c r="M11" s="12">
        <f>COUNTIF(Base_Dados!$C$2:$C$500,$B11)</f>
        <v>3</v>
      </c>
      <c r="N11" s="12" t="str">
        <f t="shared" si="0"/>
        <v>OK</v>
      </c>
      <c r="O11" s="12" t="s">
        <v>51</v>
      </c>
    </row>
  </sheetData>
  <autoFilter ref="A4:O11" xr:uid="{00000000-0009-0000-0000-000002000000}"/>
  <conditionalFormatting sqref="N5:N11">
    <cfRule type="expression" dxfId="9" priority="2">
      <formula>N5="Sem viatura atribuída"</formula>
    </cfRule>
    <cfRule type="expression" dxfId="8" priority="3">
      <formula>N5="Só ao fim de semana"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8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G4" sqref="G4"/>
    </sheetView>
  </sheetViews>
  <sheetFormatPr baseColWidth="10" defaultColWidth="8.6640625" defaultRowHeight="15" x14ac:dyDescent="0.2"/>
  <cols>
    <col min="1" max="1" width="16" customWidth="1"/>
    <col min="2" max="2" width="20" customWidth="1"/>
    <col min="3" max="3" width="12" customWidth="1"/>
    <col min="4" max="4" width="32" customWidth="1"/>
    <col min="5" max="5" width="20" customWidth="1"/>
    <col min="6" max="6" width="13" customWidth="1"/>
    <col min="7" max="9" width="14" customWidth="1"/>
    <col min="10" max="10" width="24" customWidth="1"/>
    <col min="11" max="11" width="20" customWidth="1"/>
    <col min="12" max="13" width="11" customWidth="1"/>
    <col min="14" max="14" width="18" customWidth="1"/>
    <col min="15" max="15" width="40" customWidth="1"/>
  </cols>
  <sheetData>
    <row r="1" spans="1:15" ht="18" x14ac:dyDescent="0.2">
      <c r="A1" s="13" t="s">
        <v>52</v>
      </c>
    </row>
    <row r="2" spans="1:15" x14ac:dyDescent="0.2">
      <c r="A2" s="2"/>
    </row>
    <row r="4" spans="1:15" ht="31.5" customHeight="1" x14ac:dyDescent="0.2">
      <c r="A4" s="14" t="s">
        <v>1</v>
      </c>
      <c r="B4" s="14" t="s">
        <v>20</v>
      </c>
      <c r="C4" s="14" t="s">
        <v>21</v>
      </c>
      <c r="D4" s="14" t="s">
        <v>22</v>
      </c>
      <c r="E4" s="14" t="s">
        <v>23</v>
      </c>
      <c r="F4" s="14" t="s">
        <v>24</v>
      </c>
      <c r="G4" s="14" t="s">
        <v>4</v>
      </c>
      <c r="H4" s="14" t="s">
        <v>5</v>
      </c>
      <c r="I4" s="14" t="s">
        <v>6</v>
      </c>
      <c r="J4" s="14" t="s">
        <v>7</v>
      </c>
      <c r="K4" s="14" t="s">
        <v>8</v>
      </c>
      <c r="L4" s="14" t="s">
        <v>25</v>
      </c>
      <c r="M4" s="14" t="s">
        <v>26</v>
      </c>
      <c r="N4" s="14" t="s">
        <v>27</v>
      </c>
      <c r="O4" s="14" t="s">
        <v>28</v>
      </c>
    </row>
    <row r="5" spans="1:15" ht="70" x14ac:dyDescent="0.2">
      <c r="A5" s="15" t="s">
        <v>12</v>
      </c>
      <c r="B5" s="16" t="s">
        <v>53</v>
      </c>
      <c r="C5" s="12" t="s">
        <v>54</v>
      </c>
      <c r="D5" s="12" t="s">
        <v>55</v>
      </c>
      <c r="E5" s="12" t="s">
        <v>56</v>
      </c>
      <c r="F5" s="12"/>
      <c r="G5" s="12" t="str">
        <f t="array" ref="G5">_xlfn.TEXTJOIN(", ",TRUE(),IF((Base_Dados!$C$2:$C$500=$B5)*(Base_Dados!$A$2:$A$500="Semana (2ª a 6ª)")*(Base_Dados!$B$2:$B$500="Manhã"),Base_Dados!$E$2:$E$500,""))</f>
        <v>69-TJ-24</v>
      </c>
      <c r="H5" s="12" t="str">
        <f t="array" ref="H5">_xlfn.TEXTJOIN(", ",TRUE(),IF((Base_Dados!$C$2:$C$500=$B5)*(Base_Dados!$A$2:$A$500="Semana (2ª a 6ª)")*(Base_Dados!$B$2:$B$500="Tarde"),Base_Dados!$E$2:$E$500,""))</f>
        <v>AV-32-SV</v>
      </c>
      <c r="I5" s="12" t="str">
        <f t="array" ref="I5">_xlfn.TEXTJOIN(", ",TRUE(),IF((Base_Dados!$C$2:$C$500=$B5)*(Base_Dados!$A$2:$A$500="Semana (2ª a 6ª)")*(Base_Dados!$B$2:$B$500="Noite"),Base_Dados!$E$2:$E$500,""))</f>
        <v/>
      </c>
      <c r="J5" s="12" t="str">
        <f t="array" ref="J5">_xlfn.TEXTJOIN(", ",TRUE(),IF((Base_Dados!$C$2:$C$500=$B5)*(Base_Dados!$A$2:$A$500="Sábado"),Base_Dados!$E$2:$E$500&amp;" ("&amp;Base_Dados!$B$2:$B$500&amp;")",""))</f>
        <v>65-RB-29 (Manhã), AV-32-SV (Tarde)</v>
      </c>
      <c r="K5" s="12" t="str">
        <f t="array" ref="K5">_xlfn.TEXTJOIN(", ",TRUE(),IF((Base_Dados!$C$2:$C$500=$B5)*(Base_Dados!$A$2:$A$500="Domingo"),Base_Dados!$E$2:$E$500&amp;" ("&amp;Base_Dados!$B$2:$B$500&amp;")",""))</f>
        <v>AJ-49-UO (Manhã)</v>
      </c>
      <c r="L5" s="12">
        <f>COUNTIFS(Base_Dados!$C$2:$C$500,$B5,Base_Dados!$A$2:$A$500,"Semana (2ª a 6ª)")</f>
        <v>2</v>
      </c>
      <c r="M5" s="12">
        <f>COUNTIF(Base_Dados!$C$2:$C$500,$B5)</f>
        <v>5</v>
      </c>
      <c r="N5" s="12" t="str">
        <f t="shared" ref="N5:N28" si="0">IF(M5=0,"Sem viatura atribuída",IF(L5=0,"Só ao fim de semana","OK"))</f>
        <v>OK</v>
      </c>
      <c r="O5" s="12"/>
    </row>
    <row r="6" spans="1:15" ht="42" x14ac:dyDescent="0.2">
      <c r="A6" s="15" t="s">
        <v>12</v>
      </c>
      <c r="B6" s="16" t="s">
        <v>57</v>
      </c>
      <c r="C6" s="12" t="s">
        <v>54</v>
      </c>
      <c r="D6" s="12" t="s">
        <v>58</v>
      </c>
      <c r="E6" s="12" t="s">
        <v>56</v>
      </c>
      <c r="F6" s="12"/>
      <c r="G6" s="12" t="str">
        <f t="array" ref="G6">_xlfn.TEXTJOIN(", ",TRUE(),IF((Base_Dados!$C$2:$C$500=$B6)*(Base_Dados!$A$2:$A$500="Semana (2ª a 6ª)")*(Base_Dados!$B$2:$B$500="Manhã"),Base_Dados!$E$2:$E$500,""))</f>
        <v>CA-27-DS</v>
      </c>
      <c r="H6" s="12" t="str">
        <f t="array" ref="H6">_xlfn.TEXTJOIN(", ",TRUE(),IF((Base_Dados!$C$2:$C$500=$B6)*(Base_Dados!$A$2:$A$500="Semana (2ª a 6ª)")*(Base_Dados!$B$2:$B$500="Tarde"),Base_Dados!$E$2:$E$500,""))</f>
        <v/>
      </c>
      <c r="I6" s="12" t="str">
        <f t="array" ref="I6">_xlfn.TEXTJOIN(", ",TRUE(),IF((Base_Dados!$C$2:$C$500=$B6)*(Base_Dados!$A$2:$A$500="Semana (2ª a 6ª)")*(Base_Dados!$B$2:$B$500="Noite"),Base_Dados!$E$2:$E$500,""))</f>
        <v/>
      </c>
      <c r="J6" s="12" t="str">
        <f t="array" ref="J6">_xlfn.TEXTJOIN(", ",TRUE(),IF((Base_Dados!$C$2:$C$500=$B6)*(Base_Dados!$A$2:$A$500="Sábado"),Base_Dados!$E$2:$E$500&amp;" ("&amp;Base_Dados!$B$2:$B$500&amp;")",""))</f>
        <v>CA-27-DS (Manhã)</v>
      </c>
      <c r="K6" s="12" t="str">
        <f t="array" ref="K6">_xlfn.TEXTJOIN(", ",TRUE(),IF((Base_Dados!$C$2:$C$500=$B6)*(Base_Dados!$A$2:$A$500="Domingo"),Base_Dados!$E$2:$E$500&amp;" ("&amp;Base_Dados!$B$2:$B$500&amp;")",""))</f>
        <v/>
      </c>
      <c r="L6" s="12">
        <f>COUNTIFS(Base_Dados!$C$2:$C$500,$B6,Base_Dados!$A$2:$A$500,"Semana (2ª a 6ª)")</f>
        <v>1</v>
      </c>
      <c r="M6" s="12">
        <f>COUNTIF(Base_Dados!$C$2:$C$500,$B6)</f>
        <v>2</v>
      </c>
      <c r="N6" s="12" t="str">
        <f t="shared" si="0"/>
        <v>OK</v>
      </c>
      <c r="O6" s="12"/>
    </row>
    <row r="7" spans="1:15" ht="112" x14ac:dyDescent="0.2">
      <c r="A7" s="15" t="s">
        <v>12</v>
      </c>
      <c r="B7" s="16" t="s">
        <v>59</v>
      </c>
      <c r="C7" s="12" t="s">
        <v>54</v>
      </c>
      <c r="D7" s="12" t="s">
        <v>60</v>
      </c>
      <c r="E7" s="12" t="s">
        <v>56</v>
      </c>
      <c r="F7" s="12"/>
      <c r="G7" s="12" t="str">
        <f t="array" ref="G7">_xlfn.TEXTJOIN(", ",TRUE(),IF((Base_Dados!$C$2:$C$500=$B7)*(Base_Dados!$A$2:$A$500="Semana (2ª a 6ª)")*(Base_Dados!$B$2:$B$500="Manhã"),Base_Dados!$E$2:$E$500,""))</f>
        <v/>
      </c>
      <c r="H7" s="12" t="str">
        <f t="array" ref="H7">_xlfn.TEXTJOIN(", ",TRUE(),IF((Base_Dados!$C$2:$C$500=$B7)*(Base_Dados!$A$2:$A$500="Semana (2ª a 6ª)")*(Base_Dados!$B$2:$B$500="Tarde"),Base_Dados!$E$2:$E$500,""))</f>
        <v>AJ-49-UO</v>
      </c>
      <c r="I7" s="12" t="str">
        <f t="array" ref="I7">_xlfn.TEXTJOIN(", ",TRUE(),IF((Base_Dados!$C$2:$C$500=$B7)*(Base_Dados!$A$2:$A$500="Semana (2ª a 6ª)")*(Base_Dados!$B$2:$B$500="Noite"),Base_Dados!$E$2:$E$500,""))</f>
        <v/>
      </c>
      <c r="J7" s="12" t="str">
        <f t="array" ref="J7">_xlfn.TEXTJOIN(", ",TRUE(),IF((Base_Dados!$C$2:$C$500=$B7)*(Base_Dados!$A$2:$A$500="Sábado"),Base_Dados!$E$2:$E$500&amp;" ("&amp;Base_Dados!$B$2:$B$500&amp;")",""))</f>
        <v>AJ-49-UO (Tarde)</v>
      </c>
      <c r="K7" s="12" t="str">
        <f t="array" ref="K7">_xlfn.TEXTJOIN(", ",TRUE(),IF((Base_Dados!$C$2:$C$500=$B7)*(Base_Dados!$A$2:$A$500="Domingo"),Base_Dados!$E$2:$E$500&amp;" ("&amp;Base_Dados!$B$2:$B$500&amp;")",""))</f>
        <v/>
      </c>
      <c r="L7" s="12">
        <f>COUNTIFS(Base_Dados!$C$2:$C$500,$B7,Base_Dados!$A$2:$A$500,"Semana (2ª a 6ª)")</f>
        <v>1</v>
      </c>
      <c r="M7" s="12">
        <f>COUNTIF(Base_Dados!$C$2:$C$500,$B7)</f>
        <v>2</v>
      </c>
      <c r="N7" s="12" t="str">
        <f t="shared" si="0"/>
        <v>OK</v>
      </c>
      <c r="O7" s="12"/>
    </row>
    <row r="8" spans="1:15" ht="140" x14ac:dyDescent="0.2">
      <c r="A8" s="15" t="s">
        <v>12</v>
      </c>
      <c r="B8" s="16" t="s">
        <v>61</v>
      </c>
      <c r="C8" s="12" t="s">
        <v>54</v>
      </c>
      <c r="D8" s="12" t="s">
        <v>62</v>
      </c>
      <c r="E8" s="12" t="s">
        <v>56</v>
      </c>
      <c r="F8" s="12"/>
      <c r="G8" s="12" t="str">
        <f t="array" ref="G8">_xlfn.TEXTJOIN(", ",TRUE(),IF((Base_Dados!$C$2:$C$500=$B8)*(Base_Dados!$A$2:$A$500="Semana (2ª a 6ª)")*(Base_Dados!$B$2:$B$500="Manhã"),Base_Dados!$E$2:$E$500,""))</f>
        <v/>
      </c>
      <c r="H8" s="12" t="str">
        <f t="array" ref="H8">_xlfn.TEXTJOIN(", ",TRUE(),IF((Base_Dados!$C$2:$C$500=$B8)*(Base_Dados!$A$2:$A$500="Semana (2ª a 6ª)")*(Base_Dados!$B$2:$B$500="Tarde"),Base_Dados!$E$2:$E$500,""))</f>
        <v>69-TJ-24</v>
      </c>
      <c r="I8" s="12" t="str">
        <f t="array" ref="I8">_xlfn.TEXTJOIN(", ",TRUE(),IF((Base_Dados!$C$2:$C$500=$B8)*(Base_Dados!$A$2:$A$500="Semana (2ª a 6ª)")*(Base_Dados!$B$2:$B$500="Noite"),Base_Dados!$E$2:$E$500,""))</f>
        <v/>
      </c>
      <c r="J8" s="12" t="str">
        <f t="array" ref="J8">_xlfn.TEXTJOIN(", ",TRUE(),IF((Base_Dados!$C$2:$C$500=$B8)*(Base_Dados!$A$2:$A$500="Sábado"),Base_Dados!$E$2:$E$500&amp;" ("&amp;Base_Dados!$B$2:$B$500&amp;")",""))</f>
        <v>69-TJ-24 (Tarde)</v>
      </c>
      <c r="K8" s="12" t="str">
        <f t="array" ref="K8">_xlfn.TEXTJOIN(", ",TRUE(),IF((Base_Dados!$C$2:$C$500=$B8)*(Base_Dados!$A$2:$A$500="Domingo"),Base_Dados!$E$2:$E$500&amp;" ("&amp;Base_Dados!$B$2:$B$500&amp;")",""))</f>
        <v/>
      </c>
      <c r="L8" s="12">
        <f>COUNTIFS(Base_Dados!$C$2:$C$500,$B8,Base_Dados!$A$2:$A$500,"Semana (2ª a 6ª)")</f>
        <v>1</v>
      </c>
      <c r="M8" s="12">
        <f>COUNTIF(Base_Dados!$C$2:$C$500,$B8)</f>
        <v>2</v>
      </c>
      <c r="N8" s="12" t="str">
        <f t="shared" si="0"/>
        <v>OK</v>
      </c>
      <c r="O8" s="12"/>
    </row>
    <row r="9" spans="1:15" x14ac:dyDescent="0.2">
      <c r="A9" s="15" t="s">
        <v>12</v>
      </c>
      <c r="B9" s="16" t="s">
        <v>63</v>
      </c>
      <c r="C9" s="12" t="s">
        <v>54</v>
      </c>
      <c r="D9" s="12" t="s">
        <v>64</v>
      </c>
      <c r="E9" s="12" t="s">
        <v>56</v>
      </c>
      <c r="F9" s="12"/>
      <c r="G9" s="12" t="str">
        <f t="array" ref="G9">_xlfn.TEXTJOIN(", ",TRUE(),IF((Base_Dados!$C$2:$C$500=$B9)*(Base_Dados!$A$2:$A$500="Semana (2ª a 6ª)")*(Base_Dados!$B$2:$B$500="Manhã"),Base_Dados!$E$2:$E$500,""))</f>
        <v>AV-32-SV</v>
      </c>
      <c r="H9" s="12" t="str">
        <f t="array" ref="H9">_xlfn.TEXTJOIN(", ",TRUE(),IF((Base_Dados!$C$2:$C$500=$B9)*(Base_Dados!$A$2:$A$500="Semana (2ª a 6ª)")*(Base_Dados!$B$2:$B$500="Tarde"),Base_Dados!$E$2:$E$500,""))</f>
        <v/>
      </c>
      <c r="I9" s="12" t="str">
        <f t="array" ref="I9">_xlfn.TEXTJOIN(", ",TRUE(),IF((Base_Dados!$C$2:$C$500=$B9)*(Base_Dados!$A$2:$A$500="Semana (2ª a 6ª)")*(Base_Dados!$B$2:$B$500="Noite"),Base_Dados!$E$2:$E$500,""))</f>
        <v/>
      </c>
      <c r="J9" s="12" t="str">
        <f t="array" ref="J9">_xlfn.TEXTJOIN(", ",TRUE(),IF((Base_Dados!$C$2:$C$500=$B9)*(Base_Dados!$A$2:$A$500="Sábado"),Base_Dados!$E$2:$E$500&amp;" ("&amp;Base_Dados!$B$2:$B$500&amp;")",""))</f>
        <v>AV-32-SV (Manhã)</v>
      </c>
      <c r="K9" s="12" t="str">
        <f t="array" ref="K9">_xlfn.TEXTJOIN(", ",TRUE(),IF((Base_Dados!$C$2:$C$500=$B9)*(Base_Dados!$A$2:$A$500="Domingo"),Base_Dados!$E$2:$E$500&amp;" ("&amp;Base_Dados!$B$2:$B$500&amp;")",""))</f>
        <v/>
      </c>
      <c r="L9" s="12">
        <f>COUNTIFS(Base_Dados!$C$2:$C$500,$B9,Base_Dados!$A$2:$A$500,"Semana (2ª a 6ª)")</f>
        <v>1</v>
      </c>
      <c r="M9" s="12">
        <f>COUNTIF(Base_Dados!$C$2:$C$500,$B9)</f>
        <v>2</v>
      </c>
      <c r="N9" s="12" t="str">
        <f t="shared" si="0"/>
        <v>OK</v>
      </c>
      <c r="O9" s="12"/>
    </row>
    <row r="10" spans="1:15" ht="42" x14ac:dyDescent="0.2">
      <c r="A10" s="15" t="s">
        <v>12</v>
      </c>
      <c r="B10" s="16" t="s">
        <v>65</v>
      </c>
      <c r="C10" s="12" t="s">
        <v>54</v>
      </c>
      <c r="D10" s="12" t="s">
        <v>66</v>
      </c>
      <c r="E10" s="12" t="s">
        <v>56</v>
      </c>
      <c r="F10" s="12"/>
      <c r="G10" s="12" t="str">
        <f t="array" ref="G10">_xlfn.TEXTJOIN(", ",TRUE(),IF((Base_Dados!$C$2:$C$500=$B10)*(Base_Dados!$A$2:$A$500="Semana (2ª a 6ª)")*(Base_Dados!$B$2:$B$500="Manhã"),Base_Dados!$E$2:$E$500,""))</f>
        <v>24-ZZ-64</v>
      </c>
      <c r="H10" s="12" t="str">
        <f t="array" ref="H10">_xlfn.TEXTJOIN(", ",TRUE(),IF((Base_Dados!$C$2:$C$500=$B10)*(Base_Dados!$A$2:$A$500="Semana (2ª a 6ª)")*(Base_Dados!$B$2:$B$500="Tarde"),Base_Dados!$E$2:$E$500,""))</f>
        <v>CA-27-DS</v>
      </c>
      <c r="I10" s="12" t="str">
        <f t="array" ref="I10">_xlfn.TEXTJOIN(", ",TRUE(),IF((Base_Dados!$C$2:$C$500=$B10)*(Base_Dados!$A$2:$A$500="Semana (2ª a 6ª)")*(Base_Dados!$B$2:$B$500="Noite"),Base_Dados!$E$2:$E$500,""))</f>
        <v/>
      </c>
      <c r="J10" s="12" t="str">
        <f t="array" ref="J10">_xlfn.TEXTJOIN(", ",TRUE(),IF((Base_Dados!$C$2:$C$500=$B10)*(Base_Dados!$A$2:$A$500="Sábado"),Base_Dados!$E$2:$E$500&amp;" ("&amp;Base_Dados!$B$2:$B$500&amp;")",""))</f>
        <v>24-ZZ-64 (Manhã), CA-27-DS (Tarde)</v>
      </c>
      <c r="K10" s="12" t="str">
        <f t="array" ref="K10">_xlfn.TEXTJOIN(", ",TRUE(),IF((Base_Dados!$C$2:$C$500=$B10)*(Base_Dados!$A$2:$A$500="Domingo"),Base_Dados!$E$2:$E$500&amp;" ("&amp;Base_Dados!$B$2:$B$500&amp;")",""))</f>
        <v/>
      </c>
      <c r="L10" s="12">
        <f>COUNTIFS(Base_Dados!$C$2:$C$500,$B10,Base_Dados!$A$2:$A$500,"Semana (2ª a 6ª)")</f>
        <v>2</v>
      </c>
      <c r="M10" s="12">
        <f>COUNTIF(Base_Dados!$C$2:$C$500,$B10)</f>
        <v>4</v>
      </c>
      <c r="N10" s="12" t="str">
        <f t="shared" si="0"/>
        <v>OK</v>
      </c>
      <c r="O10" s="12"/>
    </row>
    <row r="11" spans="1:15" ht="28" x14ac:dyDescent="0.2">
      <c r="A11" s="15" t="s">
        <v>12</v>
      </c>
      <c r="B11" s="16" t="s">
        <v>67</v>
      </c>
      <c r="C11" s="12" t="s">
        <v>30</v>
      </c>
      <c r="D11" s="12" t="s">
        <v>68</v>
      </c>
      <c r="E11" s="12" t="s">
        <v>69</v>
      </c>
      <c r="F11" s="12"/>
      <c r="G11" s="12" t="str">
        <f t="array" ref="G11">_xlfn.TEXTJOIN(", ",TRUE(),IF((Base_Dados!$C$2:$C$500=$B11)*(Base_Dados!$A$2:$A$500="Semana (2ª a 6ª)")*(Base_Dados!$B$2:$B$500="Manhã"),Base_Dados!$E$2:$E$500,""))</f>
        <v>60-93-ZG</v>
      </c>
      <c r="H11" s="12" t="str">
        <f t="array" ref="H11">_xlfn.TEXTJOIN(", ",TRUE(),IF((Base_Dados!$C$2:$C$500=$B11)*(Base_Dados!$A$2:$A$500="Semana (2ª a 6ª)")*(Base_Dados!$B$2:$B$500="Tarde"),Base_Dados!$E$2:$E$500,""))</f>
        <v/>
      </c>
      <c r="I11" s="12" t="str">
        <f t="array" ref="I11">_xlfn.TEXTJOIN(", ",TRUE(),IF((Base_Dados!$C$2:$C$500=$B11)*(Base_Dados!$A$2:$A$500="Semana (2ª a 6ª)")*(Base_Dados!$B$2:$B$500="Noite"),Base_Dados!$E$2:$E$500,""))</f>
        <v/>
      </c>
      <c r="J11" s="12" t="str">
        <f t="array" ref="J11">_xlfn.TEXTJOIN(", ",TRUE(),IF((Base_Dados!$C$2:$C$500=$B11)*(Base_Dados!$A$2:$A$500="Sábado"),Base_Dados!$E$2:$E$500&amp;" ("&amp;Base_Dados!$B$2:$B$500&amp;")",""))</f>
        <v>60-93-ZG (Manhã)</v>
      </c>
      <c r="K11" s="12" t="str">
        <f t="array" ref="K11">_xlfn.TEXTJOIN(", ",TRUE(),IF((Base_Dados!$C$2:$C$500=$B11)*(Base_Dados!$A$2:$A$500="Domingo"),Base_Dados!$E$2:$E$500&amp;" ("&amp;Base_Dados!$B$2:$B$500&amp;")",""))</f>
        <v/>
      </c>
      <c r="L11" s="12">
        <f>COUNTIFS(Base_Dados!$C$2:$C$500,$B11,Base_Dados!$A$2:$A$500,"Semana (2ª a 6ª)")</f>
        <v>1</v>
      </c>
      <c r="M11" s="12">
        <f>COUNTIF(Base_Dados!$C$2:$C$500,$B11)</f>
        <v>2</v>
      </c>
      <c r="N11" s="12" t="str">
        <f t="shared" si="0"/>
        <v>OK</v>
      </c>
      <c r="O11" s="12"/>
    </row>
    <row r="12" spans="1:15" ht="28" x14ac:dyDescent="0.2">
      <c r="A12" s="15" t="s">
        <v>12</v>
      </c>
      <c r="B12" s="16" t="s">
        <v>70</v>
      </c>
      <c r="C12" s="12" t="s">
        <v>30</v>
      </c>
      <c r="D12" s="12" t="s">
        <v>71</v>
      </c>
      <c r="E12" s="12" t="s">
        <v>72</v>
      </c>
      <c r="F12" s="12"/>
      <c r="G12" s="12" t="str">
        <f t="array" ref="G12">_xlfn.TEXTJOIN(", ",TRUE(),IF((Base_Dados!$C$2:$C$500=$B12)*(Base_Dados!$A$2:$A$500="Semana (2ª a 6ª)")*(Base_Dados!$B$2:$B$500="Manhã"),Base_Dados!$E$2:$E$500,""))</f>
        <v/>
      </c>
      <c r="H12" s="12" t="str">
        <f t="array" ref="H12">_xlfn.TEXTJOIN(", ",TRUE(),IF((Base_Dados!$C$2:$C$500=$B12)*(Base_Dados!$A$2:$A$500="Semana (2ª a 6ª)")*(Base_Dados!$B$2:$B$500="Tarde"),Base_Dados!$E$2:$E$500,""))</f>
        <v/>
      </c>
      <c r="I12" s="12" t="str">
        <f t="array" ref="I12">_xlfn.TEXTJOIN(", ",TRUE(),IF((Base_Dados!$C$2:$C$500=$B12)*(Base_Dados!$A$2:$A$500="Semana (2ª a 6ª)")*(Base_Dados!$B$2:$B$500="Noite"),Base_Dados!$E$2:$E$500,""))</f>
        <v/>
      </c>
      <c r="J12" s="12" t="str">
        <f t="array" ref="J12">_xlfn.TEXTJOIN(", ",TRUE(),IF((Base_Dados!$C$2:$C$500=$B12)*(Base_Dados!$A$2:$A$500="Sábado"),Base_Dados!$E$2:$E$500&amp;" ("&amp;Base_Dados!$B$2:$B$500&amp;")",""))</f>
        <v/>
      </c>
      <c r="K12" s="12" t="str">
        <f t="array" ref="K12">_xlfn.TEXTJOIN(", ",TRUE(),IF((Base_Dados!$C$2:$C$500=$B12)*(Base_Dados!$A$2:$A$500="Domingo"),Base_Dados!$E$2:$E$500&amp;" ("&amp;Base_Dados!$B$2:$B$500&amp;")",""))</f>
        <v/>
      </c>
      <c r="L12" s="12">
        <f>COUNTIFS(Base_Dados!$C$2:$C$500,$B12,Base_Dados!$A$2:$A$500,"Semana (2ª a 6ª)")</f>
        <v>0</v>
      </c>
      <c r="M12" s="12">
        <f>COUNTIF(Base_Dados!$C$2:$C$500,$B12)</f>
        <v>0</v>
      </c>
      <c r="N12" s="12" t="str">
        <f t="shared" si="0"/>
        <v>Sem viatura atribuída</v>
      </c>
      <c r="O12" s="12"/>
    </row>
    <row r="13" spans="1:15" ht="56" x14ac:dyDescent="0.2">
      <c r="A13" s="15" t="s">
        <v>12</v>
      </c>
      <c r="B13" s="16" t="s">
        <v>73</v>
      </c>
      <c r="C13" s="12" t="s">
        <v>30</v>
      </c>
      <c r="D13" s="12" t="s">
        <v>74</v>
      </c>
      <c r="E13" s="12" t="s">
        <v>75</v>
      </c>
      <c r="F13" s="12"/>
      <c r="G13" s="12" t="str">
        <f t="array" ref="G13">_xlfn.TEXTJOIN(", ",TRUE(),IF((Base_Dados!$C$2:$C$500=$B13)*(Base_Dados!$A$2:$A$500="Semana (2ª a 6ª)")*(Base_Dados!$B$2:$B$500="Manhã"),Base_Dados!$E$2:$E$500,""))</f>
        <v>49-GC-81</v>
      </c>
      <c r="H13" s="12" t="str">
        <f t="array" ref="H13">_xlfn.TEXTJOIN(", ",TRUE(),IF((Base_Dados!$C$2:$C$500=$B13)*(Base_Dados!$A$2:$A$500="Semana (2ª a 6ª)")*(Base_Dados!$B$2:$B$500="Tarde"),Base_Dados!$E$2:$E$500,""))</f>
        <v/>
      </c>
      <c r="I13" s="12" t="str">
        <f t="array" ref="I13">_xlfn.TEXTJOIN(", ",TRUE(),IF((Base_Dados!$C$2:$C$500=$B13)*(Base_Dados!$A$2:$A$500="Semana (2ª a 6ª)")*(Base_Dados!$B$2:$B$500="Noite"),Base_Dados!$E$2:$E$500,""))</f>
        <v/>
      </c>
      <c r="J13" s="12" t="str">
        <f t="array" ref="J13">_xlfn.TEXTJOIN(", ",TRUE(),IF((Base_Dados!$C$2:$C$500=$B13)*(Base_Dados!$A$2:$A$500="Sábado"),Base_Dados!$E$2:$E$500&amp;" ("&amp;Base_Dados!$B$2:$B$500&amp;")",""))</f>
        <v>49-GC-81 (Manhã)</v>
      </c>
      <c r="K13" s="12" t="str">
        <f t="array" ref="K13">_xlfn.TEXTJOIN(", ",TRUE(),IF((Base_Dados!$C$2:$C$500=$B13)*(Base_Dados!$A$2:$A$500="Domingo"),Base_Dados!$E$2:$E$500&amp;" ("&amp;Base_Dados!$B$2:$B$500&amp;")",""))</f>
        <v/>
      </c>
      <c r="L13" s="12">
        <f>COUNTIFS(Base_Dados!$C$2:$C$500,$B13,Base_Dados!$A$2:$A$500,"Semana (2ª a 6ª)")</f>
        <v>1</v>
      </c>
      <c r="M13" s="12">
        <f>COUNTIF(Base_Dados!$C$2:$C$500,$B13)</f>
        <v>2</v>
      </c>
      <c r="N13" s="12" t="str">
        <f t="shared" si="0"/>
        <v>OK</v>
      </c>
      <c r="O13" s="12"/>
    </row>
    <row r="14" spans="1:15" ht="70" x14ac:dyDescent="0.2">
      <c r="A14" s="15" t="s">
        <v>12</v>
      </c>
      <c r="B14" s="16" t="s">
        <v>76</v>
      </c>
      <c r="C14" s="12" t="s">
        <v>30</v>
      </c>
      <c r="D14" s="12" t="s">
        <v>77</v>
      </c>
      <c r="E14" s="12" t="s">
        <v>78</v>
      </c>
      <c r="F14" s="12"/>
      <c r="G14" s="12" t="str">
        <f t="array" ref="G14">_xlfn.TEXTJOIN(", ",TRUE(),IF((Base_Dados!$C$2:$C$500=$B14)*(Base_Dados!$A$2:$A$500="Semana (2ª a 6ª)")*(Base_Dados!$B$2:$B$500="Manhã"),Base_Dados!$E$2:$E$500,""))</f>
        <v>49-GC-80</v>
      </c>
      <c r="H14" s="12" t="str">
        <f t="array" ref="H14">_xlfn.TEXTJOIN(", ",TRUE(),IF((Base_Dados!$C$2:$C$500=$B14)*(Base_Dados!$A$2:$A$500="Semana (2ª a 6ª)")*(Base_Dados!$B$2:$B$500="Tarde"),Base_Dados!$E$2:$E$500,""))</f>
        <v/>
      </c>
      <c r="I14" s="12" t="str">
        <f t="array" ref="I14">_xlfn.TEXTJOIN(", ",TRUE(),IF((Base_Dados!$C$2:$C$500=$B14)*(Base_Dados!$A$2:$A$500="Semana (2ª a 6ª)")*(Base_Dados!$B$2:$B$500="Noite"),Base_Dados!$E$2:$E$500,""))</f>
        <v/>
      </c>
      <c r="J14" s="12" t="str">
        <f t="array" ref="J14">_xlfn.TEXTJOIN(", ",TRUE(),IF((Base_Dados!$C$2:$C$500=$B14)*(Base_Dados!$A$2:$A$500="Sábado"),Base_Dados!$E$2:$E$500&amp;" ("&amp;Base_Dados!$B$2:$B$500&amp;")",""))</f>
        <v>49-GC-80 (Manhã)</v>
      </c>
      <c r="K14" s="12" t="str">
        <f t="array" ref="K14">_xlfn.TEXTJOIN(", ",TRUE(),IF((Base_Dados!$C$2:$C$500=$B14)*(Base_Dados!$A$2:$A$500="Domingo"),Base_Dados!$E$2:$E$500&amp;" ("&amp;Base_Dados!$B$2:$B$500&amp;")",""))</f>
        <v/>
      </c>
      <c r="L14" s="12">
        <f>COUNTIFS(Base_Dados!$C$2:$C$500,$B14,Base_Dados!$A$2:$A$500,"Semana (2ª a 6ª)")</f>
        <v>1</v>
      </c>
      <c r="M14" s="12">
        <f>COUNTIF(Base_Dados!$C$2:$C$500,$B14)</f>
        <v>2</v>
      </c>
      <c r="N14" s="12" t="str">
        <f t="shared" si="0"/>
        <v>OK</v>
      </c>
      <c r="O14" s="12"/>
    </row>
    <row r="15" spans="1:15" ht="98" x14ac:dyDescent="0.2">
      <c r="A15" s="15" t="s">
        <v>12</v>
      </c>
      <c r="B15" s="16" t="s">
        <v>79</v>
      </c>
      <c r="C15" s="12" t="s">
        <v>30</v>
      </c>
      <c r="D15" s="12" t="s">
        <v>80</v>
      </c>
      <c r="E15" s="12" t="s">
        <v>81</v>
      </c>
      <c r="F15" s="12"/>
      <c r="G15" s="12" t="str">
        <f t="array" ref="G15">_xlfn.TEXTJOIN(", ",TRUE(),IF((Base_Dados!$C$2:$C$500=$B15)*(Base_Dados!$A$2:$A$500="Semana (2ª a 6ª)")*(Base_Dados!$B$2:$B$500="Manhã"),Base_Dados!$E$2:$E$500,""))</f>
        <v>49-GC-80</v>
      </c>
      <c r="H15" s="12" t="str">
        <f t="array" ref="H15">_xlfn.TEXTJOIN(", ",TRUE(),IF((Base_Dados!$C$2:$C$500=$B15)*(Base_Dados!$A$2:$A$500="Semana (2ª a 6ª)")*(Base_Dados!$B$2:$B$500="Tarde"),Base_Dados!$E$2:$E$500,""))</f>
        <v/>
      </c>
      <c r="I15" s="12" t="str">
        <f t="array" ref="I15">_xlfn.TEXTJOIN(", ",TRUE(),IF((Base_Dados!$C$2:$C$500=$B15)*(Base_Dados!$A$2:$A$500="Semana (2ª a 6ª)")*(Base_Dados!$B$2:$B$500="Noite"),Base_Dados!$E$2:$E$500,""))</f>
        <v/>
      </c>
      <c r="J15" s="12" t="str">
        <f t="array" ref="J15">_xlfn.TEXTJOIN(", ",TRUE(),IF((Base_Dados!$C$2:$C$500=$B15)*(Base_Dados!$A$2:$A$500="Sábado"),Base_Dados!$E$2:$E$500&amp;" ("&amp;Base_Dados!$B$2:$B$500&amp;")",""))</f>
        <v>49-GC-80 (Manhã)</v>
      </c>
      <c r="K15" s="12" t="str">
        <f t="array" ref="K15">_xlfn.TEXTJOIN(", ",TRUE(),IF((Base_Dados!$C$2:$C$500=$B15)*(Base_Dados!$A$2:$A$500="Domingo"),Base_Dados!$E$2:$E$500&amp;" ("&amp;Base_Dados!$B$2:$B$500&amp;")",""))</f>
        <v/>
      </c>
      <c r="L15" s="12">
        <f>COUNTIFS(Base_Dados!$C$2:$C$500,$B15,Base_Dados!$A$2:$A$500,"Semana (2ª a 6ª)")</f>
        <v>1</v>
      </c>
      <c r="M15" s="12">
        <f>COUNTIF(Base_Dados!$C$2:$C$500,$B15)</f>
        <v>2</v>
      </c>
      <c r="N15" s="12" t="str">
        <f t="shared" si="0"/>
        <v>OK</v>
      </c>
      <c r="O15" s="12"/>
    </row>
    <row r="16" spans="1:15" ht="42" x14ac:dyDescent="0.2">
      <c r="A16" s="15" t="s">
        <v>12</v>
      </c>
      <c r="B16" s="16" t="s">
        <v>82</v>
      </c>
      <c r="C16" s="12" t="s">
        <v>30</v>
      </c>
      <c r="D16" s="12" t="s">
        <v>83</v>
      </c>
      <c r="E16" s="12" t="s">
        <v>75</v>
      </c>
      <c r="F16" s="12"/>
      <c r="G16" s="12" t="str">
        <f t="array" ref="G16">_xlfn.TEXTJOIN(", ",TRUE(),IF((Base_Dados!$C$2:$C$500=$B16)*(Base_Dados!$A$2:$A$500="Semana (2ª a 6ª)")*(Base_Dados!$B$2:$B$500="Manhã"),Base_Dados!$E$2:$E$500,""))</f>
        <v/>
      </c>
      <c r="H16" s="12" t="str">
        <f t="array" ref="H16">_xlfn.TEXTJOIN(", ",TRUE(),IF((Base_Dados!$C$2:$C$500=$B16)*(Base_Dados!$A$2:$A$500="Semana (2ª a 6ª)")*(Base_Dados!$B$2:$B$500="Tarde"),Base_Dados!$E$2:$E$500,""))</f>
        <v/>
      </c>
      <c r="I16" s="12" t="str">
        <f t="array" ref="I16">_xlfn.TEXTJOIN(", ",TRUE(),IF((Base_Dados!$C$2:$C$500=$B16)*(Base_Dados!$A$2:$A$500="Semana (2ª a 6ª)")*(Base_Dados!$B$2:$B$500="Noite"),Base_Dados!$E$2:$E$500,""))</f>
        <v/>
      </c>
      <c r="J16" s="12" t="str">
        <f t="array" ref="J16">_xlfn.TEXTJOIN(", ",TRUE(),IF((Base_Dados!$C$2:$C$500=$B16)*(Base_Dados!$A$2:$A$500="Sábado"),Base_Dados!$E$2:$E$500&amp;" ("&amp;Base_Dados!$B$2:$B$500&amp;")",""))</f>
        <v/>
      </c>
      <c r="K16" s="12" t="str">
        <f t="array" ref="K16">_xlfn.TEXTJOIN(", ",TRUE(),IF((Base_Dados!$C$2:$C$500=$B16)*(Base_Dados!$A$2:$A$500="Domingo"),Base_Dados!$E$2:$E$500&amp;" ("&amp;Base_Dados!$B$2:$B$500&amp;")",""))</f>
        <v/>
      </c>
      <c r="L16" s="12">
        <f>COUNTIFS(Base_Dados!$C$2:$C$500,$B16,Base_Dados!$A$2:$A$500,"Semana (2ª a 6ª)")</f>
        <v>0</v>
      </c>
      <c r="M16" s="12">
        <f>COUNTIF(Base_Dados!$C$2:$C$500,$B16)</f>
        <v>0</v>
      </c>
      <c r="N16" s="12" t="str">
        <f t="shared" si="0"/>
        <v>Sem viatura atribuída</v>
      </c>
      <c r="O16" s="12"/>
    </row>
    <row r="17" spans="1:15" ht="112" x14ac:dyDescent="0.2">
      <c r="A17" s="15" t="s">
        <v>12</v>
      </c>
      <c r="B17" s="16" t="s">
        <v>84</v>
      </c>
      <c r="C17" s="12" t="s">
        <v>30</v>
      </c>
      <c r="D17" s="12" t="s">
        <v>85</v>
      </c>
      <c r="E17" s="12" t="s">
        <v>86</v>
      </c>
      <c r="F17" s="12"/>
      <c r="G17" s="12" t="str">
        <f t="array" ref="G17">_xlfn.TEXTJOIN(", ",TRUE(),IF((Base_Dados!$C$2:$C$500=$B17)*(Base_Dados!$A$2:$A$500="Semana (2ª a 6ª)")*(Base_Dados!$B$2:$B$500="Manhã"),Base_Dados!$E$2:$E$500,""))</f>
        <v>79-CN-84</v>
      </c>
      <c r="H17" s="12" t="str">
        <f t="array" ref="H17">_xlfn.TEXTJOIN(", ",TRUE(),IF((Base_Dados!$C$2:$C$500=$B17)*(Base_Dados!$A$2:$A$500="Semana (2ª a 6ª)")*(Base_Dados!$B$2:$B$500="Tarde"),Base_Dados!$E$2:$E$500,""))</f>
        <v/>
      </c>
      <c r="I17" s="12" t="str">
        <f t="array" ref="I17">_xlfn.TEXTJOIN(", ",TRUE(),IF((Base_Dados!$C$2:$C$500=$B17)*(Base_Dados!$A$2:$A$500="Semana (2ª a 6ª)")*(Base_Dados!$B$2:$B$500="Noite"),Base_Dados!$E$2:$E$500,""))</f>
        <v/>
      </c>
      <c r="J17" s="12" t="str">
        <f t="array" ref="J17">_xlfn.TEXTJOIN(", ",TRUE(),IF((Base_Dados!$C$2:$C$500=$B17)*(Base_Dados!$A$2:$A$500="Sábado"),Base_Dados!$E$2:$E$500&amp;" ("&amp;Base_Dados!$B$2:$B$500&amp;")",""))</f>
        <v>79-CN-84 (Manhã)</v>
      </c>
      <c r="K17" s="12" t="str">
        <f t="array" ref="K17">_xlfn.TEXTJOIN(", ",TRUE(),IF((Base_Dados!$C$2:$C$500=$B17)*(Base_Dados!$A$2:$A$500="Domingo"),Base_Dados!$E$2:$E$500&amp;" ("&amp;Base_Dados!$B$2:$B$500&amp;")",""))</f>
        <v/>
      </c>
      <c r="L17" s="12">
        <f>COUNTIFS(Base_Dados!$C$2:$C$500,$B17,Base_Dados!$A$2:$A$500,"Semana (2ª a 6ª)")</f>
        <v>1</v>
      </c>
      <c r="M17" s="12">
        <f>COUNTIF(Base_Dados!$C$2:$C$500,$B17)</f>
        <v>2</v>
      </c>
      <c r="N17" s="12" t="str">
        <f t="shared" si="0"/>
        <v>OK</v>
      </c>
      <c r="O17" s="12"/>
    </row>
    <row r="18" spans="1:15" ht="112" x14ac:dyDescent="0.2">
      <c r="A18" s="15" t="s">
        <v>12</v>
      </c>
      <c r="B18" s="16" t="s">
        <v>87</v>
      </c>
      <c r="C18" s="12" t="s">
        <v>30</v>
      </c>
      <c r="D18" s="12" t="s">
        <v>88</v>
      </c>
      <c r="E18" s="12" t="s">
        <v>86</v>
      </c>
      <c r="F18" s="12"/>
      <c r="G18" s="12" t="str">
        <f t="array" ref="G18">_xlfn.TEXTJOIN(", ",TRUE(),IF((Base_Dados!$C$2:$C$500=$B18)*(Base_Dados!$A$2:$A$500="Semana (2ª a 6ª)")*(Base_Dados!$B$2:$B$500="Manhã"),Base_Dados!$E$2:$E$500,""))</f>
        <v>BD-86-EN</v>
      </c>
      <c r="H18" s="12" t="str">
        <f t="array" ref="H18">_xlfn.TEXTJOIN(", ",TRUE(),IF((Base_Dados!$C$2:$C$500=$B18)*(Base_Dados!$A$2:$A$500="Semana (2ª a 6ª)")*(Base_Dados!$B$2:$B$500="Tarde"),Base_Dados!$E$2:$E$500,""))</f>
        <v/>
      </c>
      <c r="I18" s="12" t="str">
        <f t="array" ref="I18">_xlfn.TEXTJOIN(", ",TRUE(),IF((Base_Dados!$C$2:$C$500=$B18)*(Base_Dados!$A$2:$A$500="Semana (2ª a 6ª)")*(Base_Dados!$B$2:$B$500="Noite"),Base_Dados!$E$2:$E$500,""))</f>
        <v/>
      </c>
      <c r="J18" s="12" t="str">
        <f t="array" ref="J18">_xlfn.TEXTJOIN(", ",TRUE(),IF((Base_Dados!$C$2:$C$500=$B18)*(Base_Dados!$A$2:$A$500="Sábado"),Base_Dados!$E$2:$E$500&amp;" ("&amp;Base_Dados!$B$2:$B$500&amp;")",""))</f>
        <v>BD-86-EN (Manhã)</v>
      </c>
      <c r="K18" s="12" t="str">
        <f t="array" ref="K18">_xlfn.TEXTJOIN(", ",TRUE(),IF((Base_Dados!$C$2:$C$500=$B18)*(Base_Dados!$A$2:$A$500="Domingo"),Base_Dados!$E$2:$E$500&amp;" ("&amp;Base_Dados!$B$2:$B$500&amp;")",""))</f>
        <v/>
      </c>
      <c r="L18" s="12">
        <f>COUNTIFS(Base_Dados!$C$2:$C$500,$B18,Base_Dados!$A$2:$A$500,"Semana (2ª a 6ª)")</f>
        <v>1</v>
      </c>
      <c r="M18" s="12">
        <f>COUNTIF(Base_Dados!$C$2:$C$500,$B18)</f>
        <v>2</v>
      </c>
      <c r="N18" s="12" t="str">
        <f t="shared" si="0"/>
        <v>OK</v>
      </c>
      <c r="O18" s="12"/>
    </row>
    <row r="19" spans="1:15" ht="56" x14ac:dyDescent="0.2">
      <c r="A19" s="15" t="s">
        <v>12</v>
      </c>
      <c r="B19" s="16" t="s">
        <v>89</v>
      </c>
      <c r="C19" s="12" t="s">
        <v>30</v>
      </c>
      <c r="D19" s="12" t="s">
        <v>90</v>
      </c>
      <c r="E19" s="12" t="s">
        <v>86</v>
      </c>
      <c r="F19" s="12"/>
      <c r="G19" s="12" t="str">
        <f t="array" ref="G19">_xlfn.TEXTJOIN(", ",TRUE(),IF((Base_Dados!$C$2:$C$500=$B19)*(Base_Dados!$A$2:$A$500="Semana (2ª a 6ª)")*(Base_Dados!$B$2:$B$500="Manhã"),Base_Dados!$E$2:$E$500,""))</f>
        <v/>
      </c>
      <c r="H19" s="12" t="str">
        <f t="array" ref="H19">_xlfn.TEXTJOIN(", ",TRUE(),IF((Base_Dados!$C$2:$C$500=$B19)*(Base_Dados!$A$2:$A$500="Semana (2ª a 6ª)")*(Base_Dados!$B$2:$B$500="Tarde"),Base_Dados!$E$2:$E$500,""))</f>
        <v/>
      </c>
      <c r="I19" s="12" t="str">
        <f t="array" ref="I19">_xlfn.TEXTJOIN(", ",TRUE(),IF((Base_Dados!$C$2:$C$500=$B19)*(Base_Dados!$A$2:$A$500="Semana (2ª a 6ª)")*(Base_Dados!$B$2:$B$500="Noite"),Base_Dados!$E$2:$E$500,""))</f>
        <v/>
      </c>
      <c r="J19" s="12" t="str">
        <f t="array" ref="J19">_xlfn.TEXTJOIN(", ",TRUE(),IF((Base_Dados!$C$2:$C$500=$B19)*(Base_Dados!$A$2:$A$500="Sábado"),Base_Dados!$E$2:$E$500&amp;" ("&amp;Base_Dados!$B$2:$B$500&amp;")",""))</f>
        <v/>
      </c>
      <c r="K19" s="12" t="str">
        <f t="array" ref="K19">_xlfn.TEXTJOIN(", ",TRUE(),IF((Base_Dados!$C$2:$C$500=$B19)*(Base_Dados!$A$2:$A$500="Domingo"),Base_Dados!$E$2:$E$500&amp;" ("&amp;Base_Dados!$B$2:$B$500&amp;")",""))</f>
        <v/>
      </c>
      <c r="L19" s="12">
        <f>COUNTIFS(Base_Dados!$C$2:$C$500,$B19,Base_Dados!$A$2:$A$500,"Semana (2ª a 6ª)")</f>
        <v>0</v>
      </c>
      <c r="M19" s="12">
        <f>COUNTIF(Base_Dados!$C$2:$C$500,$B19)</f>
        <v>0</v>
      </c>
      <c r="N19" s="12" t="str">
        <f t="shared" si="0"/>
        <v>Sem viatura atribuída</v>
      </c>
      <c r="O19" s="12"/>
    </row>
    <row r="20" spans="1:15" ht="84" x14ac:dyDescent="0.2">
      <c r="A20" s="15" t="s">
        <v>12</v>
      </c>
      <c r="B20" s="16" t="s">
        <v>91</v>
      </c>
      <c r="C20" s="12" t="s">
        <v>30</v>
      </c>
      <c r="D20" s="12" t="s">
        <v>92</v>
      </c>
      <c r="E20" s="12" t="s">
        <v>86</v>
      </c>
      <c r="F20" s="12"/>
      <c r="G20" s="12" t="str">
        <f t="array" ref="G20">_xlfn.TEXTJOIN(", ",TRUE(),IF((Base_Dados!$C$2:$C$500=$B20)*(Base_Dados!$A$2:$A$500="Semana (2ª a 6ª)")*(Base_Dados!$B$2:$B$500="Manhã"),Base_Dados!$E$2:$E$500,""))</f>
        <v>29-20-ZN</v>
      </c>
      <c r="H20" s="12" t="str">
        <f t="array" ref="H20">_xlfn.TEXTJOIN(", ",TRUE(),IF((Base_Dados!$C$2:$C$500=$B20)*(Base_Dados!$A$2:$A$500="Semana (2ª a 6ª)")*(Base_Dados!$B$2:$B$500="Tarde"),Base_Dados!$E$2:$E$500,""))</f>
        <v/>
      </c>
      <c r="I20" s="12" t="str">
        <f t="array" ref="I20">_xlfn.TEXTJOIN(", ",TRUE(),IF((Base_Dados!$C$2:$C$500=$B20)*(Base_Dados!$A$2:$A$500="Semana (2ª a 6ª)")*(Base_Dados!$B$2:$B$500="Noite"),Base_Dados!$E$2:$E$500,""))</f>
        <v/>
      </c>
      <c r="J20" s="12" t="str">
        <f t="array" ref="J20">_xlfn.TEXTJOIN(", ",TRUE(),IF((Base_Dados!$C$2:$C$500=$B20)*(Base_Dados!$A$2:$A$500="Sábado"),Base_Dados!$E$2:$E$500&amp;" ("&amp;Base_Dados!$B$2:$B$500&amp;")",""))</f>
        <v>29-20-ZN (Manhã)</v>
      </c>
      <c r="K20" s="12" t="str">
        <f t="array" ref="K20">_xlfn.TEXTJOIN(", ",TRUE(),IF((Base_Dados!$C$2:$C$500=$B20)*(Base_Dados!$A$2:$A$500="Domingo"),Base_Dados!$E$2:$E$500&amp;" ("&amp;Base_Dados!$B$2:$B$500&amp;")",""))</f>
        <v/>
      </c>
      <c r="L20" s="12">
        <f>COUNTIFS(Base_Dados!$C$2:$C$500,$B20,Base_Dados!$A$2:$A$500,"Semana (2ª a 6ª)")</f>
        <v>1</v>
      </c>
      <c r="M20" s="12">
        <f>COUNTIF(Base_Dados!$C$2:$C$500,$B20)</f>
        <v>2</v>
      </c>
      <c r="N20" s="12" t="str">
        <f t="shared" si="0"/>
        <v>OK</v>
      </c>
      <c r="O20" s="12"/>
    </row>
    <row r="21" spans="1:15" ht="28" x14ac:dyDescent="0.2">
      <c r="A21" s="15" t="s">
        <v>12</v>
      </c>
      <c r="B21" s="16" t="s">
        <v>93</v>
      </c>
      <c r="C21" s="12" t="s">
        <v>30</v>
      </c>
      <c r="D21" s="12" t="s">
        <v>94</v>
      </c>
      <c r="E21" s="12" t="s">
        <v>69</v>
      </c>
      <c r="F21" s="12"/>
      <c r="G21" s="12" t="str">
        <f t="array" ref="G21">_xlfn.TEXTJOIN(", ",TRUE(),IF((Base_Dados!$C$2:$C$500=$B21)*(Base_Dados!$A$2:$A$500="Semana (2ª a 6ª)")*(Base_Dados!$B$2:$B$500="Manhã"),Base_Dados!$E$2:$E$500,""))</f>
        <v>29-20-ZN</v>
      </c>
      <c r="H21" s="12" t="str">
        <f t="array" ref="H21">_xlfn.TEXTJOIN(", ",TRUE(),IF((Base_Dados!$C$2:$C$500=$B21)*(Base_Dados!$A$2:$A$500="Semana (2ª a 6ª)")*(Base_Dados!$B$2:$B$500="Tarde"),Base_Dados!$E$2:$E$500,""))</f>
        <v/>
      </c>
      <c r="I21" s="12" t="str">
        <f t="array" ref="I21">_xlfn.TEXTJOIN(", ",TRUE(),IF((Base_Dados!$C$2:$C$500=$B21)*(Base_Dados!$A$2:$A$500="Semana (2ª a 6ª)")*(Base_Dados!$B$2:$B$500="Noite"),Base_Dados!$E$2:$E$500,""))</f>
        <v/>
      </c>
      <c r="J21" s="12" t="str">
        <f t="array" ref="J21">_xlfn.TEXTJOIN(", ",TRUE(),IF((Base_Dados!$C$2:$C$500=$B21)*(Base_Dados!$A$2:$A$500="Sábado"),Base_Dados!$E$2:$E$500&amp;" ("&amp;Base_Dados!$B$2:$B$500&amp;")",""))</f>
        <v>29-20-ZN (Manhã)</v>
      </c>
      <c r="K21" s="12" t="str">
        <f t="array" ref="K21">_xlfn.TEXTJOIN(", ",TRUE(),IF((Base_Dados!$C$2:$C$500=$B21)*(Base_Dados!$A$2:$A$500="Domingo"),Base_Dados!$E$2:$E$500&amp;" ("&amp;Base_Dados!$B$2:$B$500&amp;")",""))</f>
        <v/>
      </c>
      <c r="L21" s="12">
        <f>COUNTIFS(Base_Dados!$C$2:$C$500,$B21,Base_Dados!$A$2:$A$500,"Semana (2ª a 6ª)")</f>
        <v>1</v>
      </c>
      <c r="M21" s="12">
        <f>COUNTIF(Base_Dados!$C$2:$C$500,$B21)</f>
        <v>2</v>
      </c>
      <c r="N21" s="12" t="str">
        <f t="shared" si="0"/>
        <v>OK</v>
      </c>
      <c r="O21" s="12"/>
    </row>
    <row r="22" spans="1:15" x14ac:dyDescent="0.2">
      <c r="A22" s="15" t="s">
        <v>12</v>
      </c>
      <c r="B22" s="16" t="s">
        <v>95</v>
      </c>
      <c r="C22" s="12" t="s">
        <v>30</v>
      </c>
      <c r="D22" s="12" t="s">
        <v>96</v>
      </c>
      <c r="E22" s="12" t="s">
        <v>69</v>
      </c>
      <c r="F22" s="12"/>
      <c r="G22" s="12" t="str">
        <f t="array" ref="G22">_xlfn.TEXTJOIN(", ",TRUE(),IF((Base_Dados!$C$2:$C$500=$B22)*(Base_Dados!$A$2:$A$500="Semana (2ª a 6ª)")*(Base_Dados!$B$2:$B$500="Manhã"),Base_Dados!$E$2:$E$500,""))</f>
        <v>49-GC-79</v>
      </c>
      <c r="H22" s="12" t="str">
        <f t="array" ref="H22">_xlfn.TEXTJOIN(", ",TRUE(),IF((Base_Dados!$C$2:$C$500=$B22)*(Base_Dados!$A$2:$A$500="Semana (2ª a 6ª)")*(Base_Dados!$B$2:$B$500="Tarde"),Base_Dados!$E$2:$E$500,""))</f>
        <v/>
      </c>
      <c r="I22" s="12" t="str">
        <f t="array" ref="I22">_xlfn.TEXTJOIN(", ",TRUE(),IF((Base_Dados!$C$2:$C$500=$B22)*(Base_Dados!$A$2:$A$500="Semana (2ª a 6ª)")*(Base_Dados!$B$2:$B$500="Noite"),Base_Dados!$E$2:$E$500,""))</f>
        <v/>
      </c>
      <c r="J22" s="12" t="str">
        <f t="array" ref="J22">_xlfn.TEXTJOIN(", ",TRUE(),IF((Base_Dados!$C$2:$C$500=$B22)*(Base_Dados!$A$2:$A$500="Sábado"),Base_Dados!$E$2:$E$500&amp;" ("&amp;Base_Dados!$B$2:$B$500&amp;")",""))</f>
        <v>49-GC-79 (Manhã)</v>
      </c>
      <c r="K22" s="12" t="str">
        <f t="array" ref="K22">_xlfn.TEXTJOIN(", ",TRUE(),IF((Base_Dados!$C$2:$C$500=$B22)*(Base_Dados!$A$2:$A$500="Domingo"),Base_Dados!$E$2:$E$500&amp;" ("&amp;Base_Dados!$B$2:$B$500&amp;")",""))</f>
        <v/>
      </c>
      <c r="L22" s="12">
        <f>COUNTIFS(Base_Dados!$C$2:$C$500,$B22,Base_Dados!$A$2:$A$500,"Semana (2ª a 6ª)")</f>
        <v>1</v>
      </c>
      <c r="M22" s="12">
        <f>COUNTIF(Base_Dados!$C$2:$C$500,$B22)</f>
        <v>2</v>
      </c>
      <c r="N22" s="12" t="str">
        <f t="shared" si="0"/>
        <v>OK</v>
      </c>
      <c r="O22" s="12"/>
    </row>
    <row r="23" spans="1:15" x14ac:dyDescent="0.2">
      <c r="A23" s="15" t="s">
        <v>12</v>
      </c>
      <c r="B23" s="16" t="s">
        <v>97</v>
      </c>
      <c r="C23" s="12" t="s">
        <v>30</v>
      </c>
      <c r="D23" s="12" t="s">
        <v>98</v>
      </c>
      <c r="E23" s="12" t="s">
        <v>75</v>
      </c>
      <c r="F23" s="12"/>
      <c r="G23" s="12" t="str">
        <f t="array" ref="G23">_xlfn.TEXTJOIN(", ",TRUE(),IF((Base_Dados!$C$2:$C$500=$B23)*(Base_Dados!$A$2:$A$500="Semana (2ª a 6ª)")*(Base_Dados!$B$2:$B$500="Manhã"),Base_Dados!$E$2:$E$500,""))</f>
        <v>49-GC-79</v>
      </c>
      <c r="H23" s="12" t="str">
        <f t="array" ref="H23">_xlfn.TEXTJOIN(", ",TRUE(),IF((Base_Dados!$C$2:$C$500=$B23)*(Base_Dados!$A$2:$A$500="Semana (2ª a 6ª)")*(Base_Dados!$B$2:$B$500="Tarde"),Base_Dados!$E$2:$E$500,""))</f>
        <v/>
      </c>
      <c r="I23" s="12" t="str">
        <f t="array" ref="I23">_xlfn.TEXTJOIN(", ",TRUE(),IF((Base_Dados!$C$2:$C$500=$B23)*(Base_Dados!$A$2:$A$500="Semana (2ª a 6ª)")*(Base_Dados!$B$2:$B$500="Noite"),Base_Dados!$E$2:$E$500,""))</f>
        <v/>
      </c>
      <c r="J23" s="12" t="str">
        <f t="array" ref="J23">_xlfn.TEXTJOIN(", ",TRUE(),IF((Base_Dados!$C$2:$C$500=$B23)*(Base_Dados!$A$2:$A$500="Sábado"),Base_Dados!$E$2:$E$500&amp;" ("&amp;Base_Dados!$B$2:$B$500&amp;")",""))</f>
        <v>49-GC-79 (Manhã)</v>
      </c>
      <c r="K23" s="12" t="str">
        <f t="array" ref="K23">_xlfn.TEXTJOIN(", ",TRUE(),IF((Base_Dados!$C$2:$C$500=$B23)*(Base_Dados!$A$2:$A$500="Domingo"),Base_Dados!$E$2:$E$500&amp;" ("&amp;Base_Dados!$B$2:$B$500&amp;")",""))</f>
        <v/>
      </c>
      <c r="L23" s="12">
        <f>COUNTIFS(Base_Dados!$C$2:$C$500,$B23,Base_Dados!$A$2:$A$500,"Semana (2ª a 6ª)")</f>
        <v>1</v>
      </c>
      <c r="M23" s="12">
        <f>COUNTIF(Base_Dados!$C$2:$C$500,$B23)</f>
        <v>2</v>
      </c>
      <c r="N23" s="12" t="str">
        <f t="shared" si="0"/>
        <v>OK</v>
      </c>
      <c r="O23" s="12"/>
    </row>
    <row r="24" spans="1:15" ht="42" x14ac:dyDescent="0.2">
      <c r="A24" s="15" t="s">
        <v>12</v>
      </c>
      <c r="B24" s="16" t="s">
        <v>99</v>
      </c>
      <c r="C24" s="12" t="s">
        <v>30</v>
      </c>
      <c r="D24" s="12" t="s">
        <v>100</v>
      </c>
      <c r="E24" s="12" t="s">
        <v>75</v>
      </c>
      <c r="F24" s="12"/>
      <c r="G24" s="12" t="str">
        <f t="array" ref="G24">_xlfn.TEXTJOIN(", ",TRUE(),IF((Base_Dados!$C$2:$C$500=$B24)*(Base_Dados!$A$2:$A$500="Semana (2ª a 6ª)")*(Base_Dados!$B$2:$B$500="Manhã"),Base_Dados!$E$2:$E$500,""))</f>
        <v/>
      </c>
      <c r="H24" s="12" t="str">
        <f t="array" ref="H24">_xlfn.TEXTJOIN(", ",TRUE(),IF((Base_Dados!$C$2:$C$500=$B24)*(Base_Dados!$A$2:$A$500="Semana (2ª a 6ª)")*(Base_Dados!$B$2:$B$500="Tarde"),Base_Dados!$E$2:$E$500,""))</f>
        <v/>
      </c>
      <c r="I24" s="12" t="str">
        <f t="array" ref="I24">_xlfn.TEXTJOIN(", ",TRUE(),IF((Base_Dados!$C$2:$C$500=$B24)*(Base_Dados!$A$2:$A$500="Semana (2ª a 6ª)")*(Base_Dados!$B$2:$B$500="Noite"),Base_Dados!$E$2:$E$500,""))</f>
        <v/>
      </c>
      <c r="J24" s="12" t="str">
        <f t="array" ref="J24">_xlfn.TEXTJOIN(", ",TRUE(),IF((Base_Dados!$C$2:$C$500=$B24)*(Base_Dados!$A$2:$A$500="Sábado"),Base_Dados!$E$2:$E$500&amp;" ("&amp;Base_Dados!$B$2:$B$500&amp;")",""))</f>
        <v/>
      </c>
      <c r="K24" s="12" t="str">
        <f t="array" ref="K24">_xlfn.TEXTJOIN(", ",TRUE(),IF((Base_Dados!$C$2:$C$500=$B24)*(Base_Dados!$A$2:$A$500="Domingo"),Base_Dados!$E$2:$E$500&amp;" ("&amp;Base_Dados!$B$2:$B$500&amp;")",""))</f>
        <v/>
      </c>
      <c r="L24" s="12">
        <f>COUNTIFS(Base_Dados!$C$2:$C$500,$B24,Base_Dados!$A$2:$A$500,"Semana (2ª a 6ª)")</f>
        <v>0</v>
      </c>
      <c r="M24" s="12">
        <f>COUNTIF(Base_Dados!$C$2:$C$500,$B24)</f>
        <v>0</v>
      </c>
      <c r="N24" s="12" t="str">
        <f t="shared" si="0"/>
        <v>Sem viatura atribuída</v>
      </c>
      <c r="O24" s="12"/>
    </row>
    <row r="25" spans="1:15" ht="28" x14ac:dyDescent="0.2">
      <c r="A25" s="15" t="s">
        <v>12</v>
      </c>
      <c r="B25" s="16" t="s">
        <v>101</v>
      </c>
      <c r="C25" s="12" t="s">
        <v>30</v>
      </c>
      <c r="D25" s="12" t="s">
        <v>102</v>
      </c>
      <c r="E25" s="12" t="s">
        <v>69</v>
      </c>
      <c r="F25" s="12"/>
      <c r="G25" s="12" t="str">
        <f t="array" ref="G25">_xlfn.TEXTJOIN(", ",TRUE(),IF((Base_Dados!$C$2:$C$500=$B25)*(Base_Dados!$A$2:$A$500="Semana (2ª a 6ª)")*(Base_Dados!$B$2:$B$500="Manhã"),Base_Dados!$E$2:$E$500,""))</f>
        <v/>
      </c>
      <c r="H25" s="12" t="str">
        <f t="array" ref="H25">_xlfn.TEXTJOIN(", ",TRUE(),IF((Base_Dados!$C$2:$C$500=$B25)*(Base_Dados!$A$2:$A$500="Semana (2ª a 6ª)")*(Base_Dados!$B$2:$B$500="Tarde"),Base_Dados!$E$2:$E$500,""))</f>
        <v/>
      </c>
      <c r="I25" s="12" t="str">
        <f t="array" ref="I25">_xlfn.TEXTJOIN(", ",TRUE(),IF((Base_Dados!$C$2:$C$500=$B25)*(Base_Dados!$A$2:$A$500="Semana (2ª a 6ª)")*(Base_Dados!$B$2:$B$500="Noite"),Base_Dados!$E$2:$E$500,""))</f>
        <v/>
      </c>
      <c r="J25" s="12" t="str">
        <f t="array" ref="J25">_xlfn.TEXTJOIN(", ",TRUE(),IF((Base_Dados!$C$2:$C$500=$B25)*(Base_Dados!$A$2:$A$500="Sábado"),Base_Dados!$E$2:$E$500&amp;" ("&amp;Base_Dados!$B$2:$B$500&amp;")",""))</f>
        <v/>
      </c>
      <c r="K25" s="12" t="str">
        <f t="array" ref="K25">_xlfn.TEXTJOIN(", ",TRUE(),IF((Base_Dados!$C$2:$C$500=$B25)*(Base_Dados!$A$2:$A$500="Domingo"),Base_Dados!$E$2:$E$500&amp;" ("&amp;Base_Dados!$B$2:$B$500&amp;")",""))</f>
        <v/>
      </c>
      <c r="L25" s="12">
        <f>COUNTIFS(Base_Dados!$C$2:$C$500,$B25,Base_Dados!$A$2:$A$500,"Semana (2ª a 6ª)")</f>
        <v>0</v>
      </c>
      <c r="M25" s="12">
        <f>COUNTIF(Base_Dados!$C$2:$C$500,$B25)</f>
        <v>0</v>
      </c>
      <c r="N25" s="12" t="str">
        <f t="shared" si="0"/>
        <v>Sem viatura atribuída</v>
      </c>
      <c r="O25" s="12"/>
    </row>
    <row r="26" spans="1:15" ht="182" x14ac:dyDescent="0.2">
      <c r="A26" s="15" t="s">
        <v>12</v>
      </c>
      <c r="B26" s="16" t="s">
        <v>103</v>
      </c>
      <c r="C26" s="12" t="s">
        <v>30</v>
      </c>
      <c r="D26" s="12" t="s">
        <v>104</v>
      </c>
      <c r="E26" s="12" t="s">
        <v>86</v>
      </c>
      <c r="F26" s="12"/>
      <c r="G26" s="12" t="str">
        <f t="array" ref="G26">_xlfn.TEXTJOIN(", ",TRUE(),IF((Base_Dados!$C$2:$C$500=$B26)*(Base_Dados!$A$2:$A$500="Semana (2ª a 6ª)")*(Base_Dados!$B$2:$B$500="Manhã"),Base_Dados!$E$2:$E$500,""))</f>
        <v/>
      </c>
      <c r="H26" s="12" t="str">
        <f t="array" ref="H26">_xlfn.TEXTJOIN(", ",TRUE(),IF((Base_Dados!$C$2:$C$500=$B26)*(Base_Dados!$A$2:$A$500="Semana (2ª a 6ª)")*(Base_Dados!$B$2:$B$500="Tarde"),Base_Dados!$E$2:$E$500,""))</f>
        <v/>
      </c>
      <c r="I26" s="12" t="str">
        <f t="array" ref="I26">_xlfn.TEXTJOIN(", ",TRUE(),IF((Base_Dados!$C$2:$C$500=$B26)*(Base_Dados!$A$2:$A$500="Semana (2ª a 6ª)")*(Base_Dados!$B$2:$B$500="Noite"),Base_Dados!$E$2:$E$500,""))</f>
        <v/>
      </c>
      <c r="J26" s="12" t="str">
        <f t="array" ref="J26">_xlfn.TEXTJOIN(", ",TRUE(),IF((Base_Dados!$C$2:$C$500=$B26)*(Base_Dados!$A$2:$A$500="Sábado"),Base_Dados!$E$2:$E$500&amp;" ("&amp;Base_Dados!$B$2:$B$500&amp;")",""))</f>
        <v/>
      </c>
      <c r="K26" s="12" t="str">
        <f t="array" ref="K26">_xlfn.TEXTJOIN(", ",TRUE(),IF((Base_Dados!$C$2:$C$500=$B26)*(Base_Dados!$A$2:$A$500="Domingo"),Base_Dados!$E$2:$E$500&amp;" ("&amp;Base_Dados!$B$2:$B$500&amp;")",""))</f>
        <v/>
      </c>
      <c r="L26" s="12">
        <f>COUNTIFS(Base_Dados!$C$2:$C$500,$B26,Base_Dados!$A$2:$A$500,"Semana (2ª a 6ª)")</f>
        <v>0</v>
      </c>
      <c r="M26" s="12">
        <f>COUNTIF(Base_Dados!$C$2:$C$500,$B26)</f>
        <v>0</v>
      </c>
      <c r="N26" s="12" t="str">
        <f t="shared" si="0"/>
        <v>Sem viatura atribuída</v>
      </c>
      <c r="O26" s="12"/>
    </row>
    <row r="27" spans="1:15" ht="28" x14ac:dyDescent="0.2">
      <c r="A27" s="15" t="s">
        <v>12</v>
      </c>
      <c r="B27" s="16" t="s">
        <v>105</v>
      </c>
      <c r="C27" s="12" t="s">
        <v>30</v>
      </c>
      <c r="D27" s="12" t="s">
        <v>106</v>
      </c>
      <c r="E27" s="12" t="s">
        <v>75</v>
      </c>
      <c r="F27" s="12"/>
      <c r="G27" s="12" t="str">
        <f t="array" ref="G27">_xlfn.TEXTJOIN(", ",TRUE(),IF((Base_Dados!$C$2:$C$500=$B27)*(Base_Dados!$A$2:$A$500="Semana (2ª a 6ª)")*(Base_Dados!$B$2:$B$500="Manhã"),Base_Dados!$E$2:$E$500,""))</f>
        <v/>
      </c>
      <c r="H27" s="12" t="str">
        <f t="array" ref="H27">_xlfn.TEXTJOIN(", ",TRUE(),IF((Base_Dados!$C$2:$C$500=$B27)*(Base_Dados!$A$2:$A$500="Semana (2ª a 6ª)")*(Base_Dados!$B$2:$B$500="Tarde"),Base_Dados!$E$2:$E$500,""))</f>
        <v/>
      </c>
      <c r="I27" s="12" t="str">
        <f t="array" ref="I27">_xlfn.TEXTJOIN(", ",TRUE(),IF((Base_Dados!$C$2:$C$500=$B27)*(Base_Dados!$A$2:$A$500="Semana (2ª a 6ª)")*(Base_Dados!$B$2:$B$500="Noite"),Base_Dados!$E$2:$E$500,""))</f>
        <v/>
      </c>
      <c r="J27" s="12" t="str">
        <f t="array" ref="J27">_xlfn.TEXTJOIN(", ",TRUE(),IF((Base_Dados!$C$2:$C$500=$B27)*(Base_Dados!$A$2:$A$500="Sábado"),Base_Dados!$E$2:$E$500&amp;" ("&amp;Base_Dados!$B$2:$B$500&amp;")",""))</f>
        <v/>
      </c>
      <c r="K27" s="12" t="str">
        <f t="array" ref="K27">_xlfn.TEXTJOIN(", ",TRUE(),IF((Base_Dados!$C$2:$C$500=$B27)*(Base_Dados!$A$2:$A$500="Domingo"),Base_Dados!$E$2:$E$500&amp;" ("&amp;Base_Dados!$B$2:$B$500&amp;")",""))</f>
        <v/>
      </c>
      <c r="L27" s="12">
        <f>COUNTIFS(Base_Dados!$C$2:$C$500,$B27,Base_Dados!$A$2:$A$500,"Semana (2ª a 6ª)")</f>
        <v>0</v>
      </c>
      <c r="M27" s="12">
        <f>COUNTIF(Base_Dados!$C$2:$C$500,$B27)</f>
        <v>0</v>
      </c>
      <c r="N27" s="12" t="str">
        <f t="shared" si="0"/>
        <v>Sem viatura atribuída</v>
      </c>
      <c r="O27" s="12"/>
    </row>
    <row r="28" spans="1:15" ht="28" x14ac:dyDescent="0.2">
      <c r="A28" s="15" t="s">
        <v>12</v>
      </c>
      <c r="B28" s="16" t="s">
        <v>107</v>
      </c>
      <c r="C28" s="12" t="s">
        <v>30</v>
      </c>
      <c r="D28" s="12" t="s">
        <v>108</v>
      </c>
      <c r="E28" s="12" t="s">
        <v>69</v>
      </c>
      <c r="F28" s="12"/>
      <c r="G28" s="12" t="str">
        <f t="array" ref="G28">_xlfn.TEXTJOIN(", ",TRUE(),IF((Base_Dados!$C$2:$C$500=$B28)*(Base_Dados!$A$2:$A$500="Semana (2ª a 6ª)")*(Base_Dados!$B$2:$B$500="Manhã"),Base_Dados!$E$2:$E$500,""))</f>
        <v/>
      </c>
      <c r="H28" s="12" t="str">
        <f t="array" ref="H28">_xlfn.TEXTJOIN(", ",TRUE(),IF((Base_Dados!$C$2:$C$500=$B28)*(Base_Dados!$A$2:$A$500="Semana (2ª a 6ª)")*(Base_Dados!$B$2:$B$500="Tarde"),Base_Dados!$E$2:$E$500,""))</f>
        <v/>
      </c>
      <c r="I28" s="12" t="str">
        <f t="array" ref="I28">_xlfn.TEXTJOIN(", ",TRUE(),IF((Base_Dados!$C$2:$C$500=$B28)*(Base_Dados!$A$2:$A$500="Semana (2ª a 6ª)")*(Base_Dados!$B$2:$B$500="Noite"),Base_Dados!$E$2:$E$500,""))</f>
        <v/>
      </c>
      <c r="J28" s="12" t="str">
        <f t="array" ref="J28">_xlfn.TEXTJOIN(", ",TRUE(),IF((Base_Dados!$C$2:$C$500=$B28)*(Base_Dados!$A$2:$A$500="Sábado"),Base_Dados!$E$2:$E$500&amp;" ("&amp;Base_Dados!$B$2:$B$500&amp;")",""))</f>
        <v/>
      </c>
      <c r="K28" s="12" t="str">
        <f t="array" ref="K28">_xlfn.TEXTJOIN(", ",TRUE(),IF((Base_Dados!$C$2:$C$500=$B28)*(Base_Dados!$A$2:$A$500="Domingo"),Base_Dados!$E$2:$E$500&amp;" ("&amp;Base_Dados!$B$2:$B$500&amp;")",""))</f>
        <v/>
      </c>
      <c r="L28" s="12">
        <f>COUNTIFS(Base_Dados!$C$2:$C$500,$B28,Base_Dados!$A$2:$A$500,"Semana (2ª a 6ª)")</f>
        <v>0</v>
      </c>
      <c r="M28" s="12">
        <f>COUNTIF(Base_Dados!$C$2:$C$500,$B28)</f>
        <v>0</v>
      </c>
      <c r="N28" s="12" t="str">
        <f t="shared" si="0"/>
        <v>Sem viatura atribuída</v>
      </c>
      <c r="O28" s="12"/>
    </row>
  </sheetData>
  <autoFilter ref="A4:O28" xr:uid="{00000000-0009-0000-0000-000003000000}"/>
  <conditionalFormatting sqref="N5:N28">
    <cfRule type="expression" dxfId="7" priority="2">
      <formula>N5="Sem viatura atribuída"</formula>
    </cfRule>
    <cfRule type="expression" dxfId="6" priority="3">
      <formula>N5="Só ao fim de semana"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7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D12" sqref="D12"/>
    </sheetView>
  </sheetViews>
  <sheetFormatPr baseColWidth="10" defaultColWidth="8.6640625" defaultRowHeight="15" x14ac:dyDescent="0.2"/>
  <cols>
    <col min="1" max="1" width="16" customWidth="1"/>
    <col min="2" max="2" width="20" customWidth="1"/>
    <col min="3" max="3" width="12" customWidth="1"/>
    <col min="4" max="4" width="32" customWidth="1"/>
    <col min="5" max="5" width="20" customWidth="1"/>
    <col min="6" max="6" width="13" customWidth="1"/>
    <col min="7" max="9" width="14" customWidth="1"/>
    <col min="10" max="10" width="24" customWidth="1"/>
    <col min="11" max="11" width="20" customWidth="1"/>
    <col min="12" max="13" width="11" customWidth="1"/>
    <col min="14" max="14" width="18" customWidth="1"/>
    <col min="15" max="15" width="40" customWidth="1"/>
  </cols>
  <sheetData>
    <row r="1" spans="1:15" ht="18" x14ac:dyDescent="0.2">
      <c r="A1" s="17" t="s">
        <v>109</v>
      </c>
    </row>
    <row r="2" spans="1:15" x14ac:dyDescent="0.2">
      <c r="A2" s="2"/>
    </row>
    <row r="4" spans="1:15" ht="31.5" customHeight="1" x14ac:dyDescent="0.2">
      <c r="A4" s="18" t="s">
        <v>1</v>
      </c>
      <c r="B4" s="18" t="s">
        <v>20</v>
      </c>
      <c r="C4" s="18" t="s">
        <v>21</v>
      </c>
      <c r="D4" s="18" t="s">
        <v>22</v>
      </c>
      <c r="E4" s="18" t="s">
        <v>23</v>
      </c>
      <c r="F4" s="18" t="s">
        <v>24</v>
      </c>
      <c r="G4" s="18" t="s">
        <v>4</v>
      </c>
      <c r="H4" s="18" t="s">
        <v>5</v>
      </c>
      <c r="I4" s="18" t="s">
        <v>6</v>
      </c>
      <c r="J4" s="18" t="s">
        <v>7</v>
      </c>
      <c r="K4" s="18" t="s">
        <v>8</v>
      </c>
      <c r="L4" s="18" t="s">
        <v>25</v>
      </c>
      <c r="M4" s="18" t="s">
        <v>26</v>
      </c>
      <c r="N4" s="18" t="s">
        <v>27</v>
      </c>
      <c r="O4" s="18" t="s">
        <v>28</v>
      </c>
    </row>
    <row r="5" spans="1:15" x14ac:dyDescent="0.2">
      <c r="A5" s="19" t="s">
        <v>13</v>
      </c>
      <c r="B5" s="20" t="s">
        <v>110</v>
      </c>
      <c r="C5" s="12"/>
      <c r="D5" s="12"/>
      <c r="E5" s="12"/>
      <c r="F5" s="12"/>
      <c r="G5" s="12" t="str">
        <f t="array" ref="G5">_xlfn.TEXTJOIN(", ",TRUE(),IF((Base_Dados!$C$2:$C$500=$B5)*(Base_Dados!$A$2:$A$500="Semana (2ª a 6ª)")*(Base_Dados!$B$2:$B$500="Manhã"),Base_Dados!$E$2:$E$500,""))</f>
        <v/>
      </c>
      <c r="H5" s="12" t="str">
        <f t="array" ref="H5">_xlfn.TEXTJOIN(", ",TRUE(),IF((Base_Dados!$C$2:$C$500=$B5)*(Base_Dados!$A$2:$A$500="Semana (2ª a 6ª)")*(Base_Dados!$B$2:$B$500="Tarde"),Base_Dados!$E$2:$E$500,""))</f>
        <v>24-ZZ-64</v>
      </c>
      <c r="I5" s="12" t="str">
        <f t="array" ref="I5">_xlfn.TEXTJOIN(", ",TRUE(),IF((Base_Dados!$C$2:$C$500=$B5)*(Base_Dados!$A$2:$A$500="Semana (2ª a 6ª)")*(Base_Dados!$B$2:$B$500="Noite"),Base_Dados!$E$2:$E$500,""))</f>
        <v/>
      </c>
      <c r="J5" s="12" t="str">
        <f t="array" ref="J5">_xlfn.TEXTJOIN(", ",TRUE(),IF((Base_Dados!$C$2:$C$500=$B5)*(Base_Dados!$A$2:$A$500="Sábado"),Base_Dados!$E$2:$E$500&amp;" ("&amp;Base_Dados!$B$2:$B$500&amp;")",""))</f>
        <v>24-ZZ-64 (Tarde)</v>
      </c>
      <c r="K5" s="12" t="str">
        <f t="array" ref="K5">_xlfn.TEXTJOIN(", ",TRUE(),IF((Base_Dados!$C$2:$C$500=$B5)*(Base_Dados!$A$2:$A$500="Domingo"),Base_Dados!$E$2:$E$500&amp;" ("&amp;Base_Dados!$B$2:$B$500&amp;")",""))</f>
        <v/>
      </c>
      <c r="L5" s="12">
        <f>COUNTIFS(Base_Dados!$C$2:$C$500,$B5,Base_Dados!$A$2:$A$500,"Semana (2ª a 6ª)")</f>
        <v>1</v>
      </c>
      <c r="M5" s="12">
        <f>COUNTIF(Base_Dados!$C$2:$C$500,$B5)</f>
        <v>2</v>
      </c>
      <c r="N5" s="12" t="str">
        <f>IF(M5=0,"Sem viatura atribuída",IF(L5=0,"Só ao fim de semana","OK"))</f>
        <v>OK</v>
      </c>
      <c r="O5" s="12" t="s">
        <v>111</v>
      </c>
    </row>
    <row r="6" spans="1:15" x14ac:dyDescent="0.2">
      <c r="A6" s="19" t="s">
        <v>13</v>
      </c>
      <c r="B6" s="20" t="s">
        <v>112</v>
      </c>
      <c r="C6" s="12"/>
      <c r="D6" s="12"/>
      <c r="E6" s="12"/>
      <c r="F6" s="12"/>
      <c r="G6" s="12" t="str">
        <f t="array" ref="G6">_xlfn.TEXTJOIN(", ",TRUE(),IF((Base_Dados!$C$2:$C$500=$B6)*(Base_Dados!$A$2:$A$500="Semana (2ª a 6ª)")*(Base_Dados!$B$2:$B$500="Manhã"),Base_Dados!$E$2:$E$500,""))</f>
        <v/>
      </c>
      <c r="H6" s="12" t="str">
        <f t="array" ref="H6">_xlfn.TEXTJOIN(", ",TRUE(),IF((Base_Dados!$C$2:$C$500=$B6)*(Base_Dados!$A$2:$A$500="Semana (2ª a 6ª)")*(Base_Dados!$B$2:$B$500="Tarde"),Base_Dados!$E$2:$E$500,""))</f>
        <v>75-ZQ-13</v>
      </c>
      <c r="I6" s="12" t="str">
        <f t="array" ref="I6">_xlfn.TEXTJOIN(", ",TRUE(),IF((Base_Dados!$C$2:$C$500=$B6)*(Base_Dados!$A$2:$A$500="Semana (2ª a 6ª)")*(Base_Dados!$B$2:$B$500="Noite"),Base_Dados!$E$2:$E$500,""))</f>
        <v/>
      </c>
      <c r="J6" s="12" t="str">
        <f t="array" ref="J6">_xlfn.TEXTJOIN(", ",TRUE(),IF((Base_Dados!$C$2:$C$500=$B6)*(Base_Dados!$A$2:$A$500="Sábado"),Base_Dados!$E$2:$E$500&amp;" ("&amp;Base_Dados!$B$2:$B$500&amp;")",""))</f>
        <v>75-ZQ-13 (Tarde)</v>
      </c>
      <c r="K6" s="12" t="str">
        <f t="array" ref="K6">_xlfn.TEXTJOIN(", ",TRUE(),IF((Base_Dados!$C$2:$C$500=$B6)*(Base_Dados!$A$2:$A$500="Domingo"),Base_Dados!$E$2:$E$500&amp;" ("&amp;Base_Dados!$B$2:$B$500&amp;")",""))</f>
        <v/>
      </c>
      <c r="L6" s="12">
        <f>COUNTIFS(Base_Dados!$C$2:$C$500,$B6,Base_Dados!$A$2:$A$500,"Semana (2ª a 6ª)")</f>
        <v>1</v>
      </c>
      <c r="M6" s="12">
        <f>COUNTIF(Base_Dados!$C$2:$C$500,$B6)</f>
        <v>2</v>
      </c>
      <c r="N6" s="12" t="str">
        <f>IF(M6=0,"Sem viatura atribuída",IF(L6=0,"Só ao fim de semana","OK"))</f>
        <v>OK</v>
      </c>
      <c r="O6" s="12" t="s">
        <v>111</v>
      </c>
    </row>
    <row r="7" spans="1:15" ht="28" x14ac:dyDescent="0.2">
      <c r="A7" s="19" t="s">
        <v>13</v>
      </c>
      <c r="B7" s="20" t="s">
        <v>113</v>
      </c>
      <c r="C7" s="12"/>
      <c r="D7" s="12"/>
      <c r="E7" s="12"/>
      <c r="F7" s="12"/>
      <c r="G7" s="12" t="str">
        <f t="array" ref="G7">_xlfn.TEXTJOIN(", ",TRUE(),IF((Base_Dados!$C$2:$C$500=$B7)*(Base_Dados!$A$2:$A$500="Semana (2ª a 6ª)")*(Base_Dados!$B$2:$B$500="Manhã"),Base_Dados!$E$2:$E$500,""))</f>
        <v>65-RB-29</v>
      </c>
      <c r="H7" s="12" t="str">
        <f t="array" ref="H7">_xlfn.TEXTJOIN(", ",TRUE(),IF((Base_Dados!$C$2:$C$500=$B7)*(Base_Dados!$A$2:$A$500="Semana (2ª a 6ª)")*(Base_Dados!$B$2:$B$500="Tarde"),Base_Dados!$E$2:$E$500,""))</f>
        <v>47-LP-50, 75-ZQ-24</v>
      </c>
      <c r="I7" s="12" t="str">
        <f t="array" ref="I7">_xlfn.TEXTJOIN(", ",TRUE(),IF((Base_Dados!$C$2:$C$500=$B7)*(Base_Dados!$A$2:$A$500="Semana (2ª a 6ª)")*(Base_Dados!$B$2:$B$500="Noite"),Base_Dados!$E$2:$E$500,""))</f>
        <v/>
      </c>
      <c r="J7" s="12" t="str">
        <f t="array" ref="J7">_xlfn.TEXTJOIN(", ",TRUE(),IF((Base_Dados!$C$2:$C$500=$B7)*(Base_Dados!$A$2:$A$500="Sábado"),Base_Dados!$E$2:$E$500&amp;" ("&amp;Base_Dados!$B$2:$B$500&amp;")",""))</f>
        <v>47-LP-50 (Tarde)</v>
      </c>
      <c r="K7" s="12" t="str">
        <f t="array" ref="K7">_xlfn.TEXTJOIN(", ",TRUE(),IF((Base_Dados!$C$2:$C$500=$B7)*(Base_Dados!$A$2:$A$500="Domingo"),Base_Dados!$E$2:$E$500&amp;" ("&amp;Base_Dados!$B$2:$B$500&amp;")",""))</f>
        <v/>
      </c>
      <c r="L7" s="12">
        <f>COUNTIFS(Base_Dados!$C$2:$C$500,$B7,Base_Dados!$A$2:$A$500,"Semana (2ª a 6ª)")</f>
        <v>3</v>
      </c>
      <c r="M7" s="12">
        <f>COUNTIF(Base_Dados!$C$2:$C$500,$B7)</f>
        <v>4</v>
      </c>
      <c r="N7" s="12" t="str">
        <f>IF(M7=0,"Sem viatura atribuída",IF(L7=0,"Só ao fim de semana","OK"))</f>
        <v>OK</v>
      </c>
      <c r="O7" s="12" t="s">
        <v>111</v>
      </c>
    </row>
  </sheetData>
  <autoFilter ref="A4:O7" xr:uid="{00000000-0009-0000-0000-000004000000}"/>
  <conditionalFormatting sqref="N5:N7">
    <cfRule type="expression" dxfId="5" priority="2">
      <formula>N5="Sem viatura atribuída"</formula>
    </cfRule>
    <cfRule type="expression" dxfId="4" priority="3">
      <formula>N5="Só ao fim de semana"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F17" sqref="F17"/>
    </sheetView>
  </sheetViews>
  <sheetFormatPr baseColWidth="10" defaultColWidth="8.6640625" defaultRowHeight="15" x14ac:dyDescent="0.2"/>
  <cols>
    <col min="1" max="1" width="16" customWidth="1"/>
    <col min="2" max="2" width="20" customWidth="1"/>
    <col min="3" max="3" width="12" customWidth="1"/>
    <col min="4" max="4" width="32" customWidth="1"/>
    <col min="5" max="5" width="20" customWidth="1"/>
    <col min="6" max="6" width="13" customWidth="1"/>
    <col min="7" max="9" width="14" customWidth="1"/>
    <col min="10" max="10" width="24" customWidth="1"/>
    <col min="11" max="11" width="20" customWidth="1"/>
    <col min="12" max="13" width="11" customWidth="1"/>
    <col min="14" max="14" width="18" customWidth="1"/>
    <col min="15" max="15" width="40" customWidth="1"/>
  </cols>
  <sheetData>
    <row r="1" spans="1:15" ht="18" x14ac:dyDescent="0.2">
      <c r="A1" s="21" t="s">
        <v>114</v>
      </c>
    </row>
    <row r="2" spans="1:15" x14ac:dyDescent="0.2">
      <c r="A2" s="2"/>
    </row>
    <row r="4" spans="1:15" ht="31.5" customHeight="1" x14ac:dyDescent="0.2">
      <c r="A4" s="22" t="s">
        <v>1</v>
      </c>
      <c r="B4" s="22" t="s">
        <v>20</v>
      </c>
      <c r="C4" s="22" t="s">
        <v>21</v>
      </c>
      <c r="D4" s="22" t="s">
        <v>22</v>
      </c>
      <c r="E4" s="22" t="s">
        <v>23</v>
      </c>
      <c r="F4" s="22" t="s">
        <v>24</v>
      </c>
      <c r="G4" s="22" t="s">
        <v>4</v>
      </c>
      <c r="H4" s="22" t="s">
        <v>5</v>
      </c>
      <c r="I4" s="22" t="s">
        <v>6</v>
      </c>
      <c r="J4" s="22" t="s">
        <v>7</v>
      </c>
      <c r="K4" s="22" t="s">
        <v>8</v>
      </c>
      <c r="L4" s="22" t="s">
        <v>25</v>
      </c>
      <c r="M4" s="22" t="s">
        <v>26</v>
      </c>
      <c r="N4" s="22" t="s">
        <v>27</v>
      </c>
      <c r="O4" s="22" t="s">
        <v>28</v>
      </c>
    </row>
    <row r="5" spans="1:15" ht="56" x14ac:dyDescent="0.2">
      <c r="A5" s="23" t="s">
        <v>14</v>
      </c>
      <c r="B5" s="24" t="s">
        <v>115</v>
      </c>
      <c r="C5" s="12"/>
      <c r="D5" s="12"/>
      <c r="E5" s="12"/>
      <c r="F5" s="12"/>
      <c r="G5" s="12" t="str">
        <f t="array" ref="G5">_xlfn.TEXTJOIN(", ",TRUE(),IF((Base_Dados!$C$2:$C$500=$B5)*(Base_Dados!$A$2:$A$500="Semana (2ª a 6ª)")*(Base_Dados!$B$2:$B$500="Manhã"),Base_Dados!$E$2:$E$500,""))</f>
        <v>60-45-XJ, 75-ZQ-24, 48-CQ-06, 75-ZQ-13</v>
      </c>
      <c r="H5" s="12" t="str">
        <f t="array" ref="H5">_xlfn.TEXTJOIN(", ",TRUE(),IF((Base_Dados!$C$2:$C$500=$B5)*(Base_Dados!$A$2:$A$500="Semana (2ª a 6ª)")*(Base_Dados!$B$2:$B$500="Tarde"),Base_Dados!$E$2:$E$500,""))</f>
        <v>48-CQ-06, 75-ZQ-24</v>
      </c>
      <c r="I5" s="12" t="str">
        <f t="array" ref="I5">_xlfn.TEXTJOIN(", ",TRUE(),IF((Base_Dados!$C$2:$C$500=$B5)*(Base_Dados!$A$2:$A$500="Semana (2ª a 6ª)")*(Base_Dados!$B$2:$B$500="Noite"),Base_Dados!$E$2:$E$500,""))</f>
        <v/>
      </c>
      <c r="J5" s="12" t="str">
        <f t="array" ref="J5">_xlfn.TEXTJOIN(", ",TRUE(),IF((Base_Dados!$C$2:$C$500=$B5)*(Base_Dados!$A$2:$A$500="Sábado"),Base_Dados!$E$2:$E$500&amp;" ("&amp;Base_Dados!$B$2:$B$500&amp;")",""))</f>
        <v>60-45-XJ (Manhã), 75-ZQ-24 (Manhã), 48-CQ-06 (Manhã), 75-ZQ-24 (Tarde), 48-CQ-06 (Tarde)</v>
      </c>
      <c r="K5" s="12" t="str">
        <f t="array" ref="K5">_xlfn.TEXTJOIN(", ",TRUE(),IF((Base_Dados!$C$2:$C$500=$B5)*(Base_Dados!$A$2:$A$500="Domingo"),Base_Dados!$E$2:$E$500&amp;" ("&amp;Base_Dados!$B$2:$B$500&amp;")",""))</f>
        <v/>
      </c>
      <c r="L5" s="12">
        <f>COUNTIFS(Base_Dados!$C$2:$C$500,$B5,Base_Dados!$A$2:$A$500,"Semana (2ª a 6ª)")</f>
        <v>6</v>
      </c>
      <c r="M5" s="12">
        <f>COUNTIF(Base_Dados!$C$2:$C$500,$B5)</f>
        <v>11</v>
      </c>
      <c r="N5" s="12" t="str">
        <f>IF(M5=0,"Sem viatura atribuída",IF(L5=0,"Só ao fim de semana","OK"))</f>
        <v>OK</v>
      </c>
      <c r="O5" s="12" t="s">
        <v>116</v>
      </c>
    </row>
  </sheetData>
  <autoFilter ref="A4:O5" xr:uid="{00000000-0009-0000-0000-000005000000}"/>
  <conditionalFormatting sqref="N5">
    <cfRule type="expression" dxfId="3" priority="2">
      <formula>N5="Sem viatura atribuída"</formula>
    </cfRule>
    <cfRule type="expression" dxfId="2" priority="3">
      <formula>N5="Só ao fim de semana"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0"/>
  <sheetViews>
    <sheetView zoomScaleNormal="100" workbookViewId="0">
      <pane xSplit="2" ySplit="4" topLeftCell="G5" activePane="bottomRight" state="frozen"/>
      <selection pane="topRight" activeCell="C1" sqref="C1"/>
      <selection pane="bottomLeft" activeCell="A5" sqref="A5"/>
      <selection pane="bottomRight" activeCell="I27" sqref="I27"/>
    </sheetView>
  </sheetViews>
  <sheetFormatPr baseColWidth="10" defaultColWidth="8.6640625" defaultRowHeight="15" x14ac:dyDescent="0.2"/>
  <cols>
    <col min="1" max="1" width="16" customWidth="1"/>
    <col min="2" max="2" width="20" customWidth="1"/>
    <col min="3" max="3" width="12" customWidth="1"/>
    <col min="4" max="4" width="32" customWidth="1"/>
    <col min="5" max="5" width="20" customWidth="1"/>
    <col min="6" max="6" width="13" customWidth="1"/>
    <col min="7" max="9" width="14" customWidth="1"/>
    <col min="10" max="10" width="24" customWidth="1"/>
    <col min="11" max="11" width="20" customWidth="1"/>
    <col min="12" max="13" width="11" customWidth="1"/>
    <col min="14" max="14" width="18" customWidth="1"/>
    <col min="15" max="15" width="40" customWidth="1"/>
  </cols>
  <sheetData>
    <row r="1" spans="1:15" ht="18" x14ac:dyDescent="0.2">
      <c r="A1" s="25" t="s">
        <v>117</v>
      </c>
    </row>
    <row r="2" spans="1:15" x14ac:dyDescent="0.2">
      <c r="A2" s="2"/>
    </row>
    <row r="4" spans="1:15" ht="31.5" customHeight="1" x14ac:dyDescent="0.2">
      <c r="A4" s="26" t="s">
        <v>1</v>
      </c>
      <c r="B4" s="26" t="s">
        <v>20</v>
      </c>
      <c r="C4" s="26" t="s">
        <v>21</v>
      </c>
      <c r="D4" s="26" t="s">
        <v>22</v>
      </c>
      <c r="E4" s="26" t="s">
        <v>23</v>
      </c>
      <c r="F4" s="26" t="s">
        <v>24</v>
      </c>
      <c r="G4" s="26" t="s">
        <v>4</v>
      </c>
      <c r="H4" s="26" t="s">
        <v>5</v>
      </c>
      <c r="I4" s="26" t="s">
        <v>6</v>
      </c>
      <c r="J4" s="26" t="s">
        <v>7</v>
      </c>
      <c r="K4" s="26" t="s">
        <v>8</v>
      </c>
      <c r="L4" s="26" t="s">
        <v>25</v>
      </c>
      <c r="M4" s="26" t="s">
        <v>26</v>
      </c>
      <c r="N4" s="26" t="s">
        <v>27</v>
      </c>
      <c r="O4" s="26" t="s">
        <v>28</v>
      </c>
    </row>
    <row r="5" spans="1:15" ht="28" x14ac:dyDescent="0.2">
      <c r="A5" s="27" t="s">
        <v>17</v>
      </c>
      <c r="B5" s="28" t="s">
        <v>118</v>
      </c>
      <c r="C5" s="12"/>
      <c r="D5" s="12"/>
      <c r="E5" s="12"/>
      <c r="F5" s="12"/>
      <c r="G5" s="12" t="str">
        <f t="array" ref="G5">_xlfn.TEXTJOIN(", ",TRUE(),IF((Base_Dados!$C$2:$C$500=$B5)*(Base_Dados!$A$2:$A$500="Semana (2ª a 6ª)")*(Base_Dados!$B$2:$B$500="Manhã"),Base_Dados!$E$2:$E$500,""))</f>
        <v>47-LP-50</v>
      </c>
      <c r="H5" s="12" t="str">
        <f t="array" ref="H5">_xlfn.TEXTJOIN(", ",TRUE(),IF((Base_Dados!$C$2:$C$500=$B5)*(Base_Dados!$A$2:$A$500="Semana (2ª a 6ª)")*(Base_Dados!$B$2:$B$500="Tarde"),Base_Dados!$E$2:$E$500,""))</f>
        <v/>
      </c>
      <c r="I5" s="12" t="str">
        <f t="array" ref="I5">_xlfn.TEXTJOIN(", ",TRUE(),IF((Base_Dados!$C$2:$C$500=$B5)*(Base_Dados!$A$2:$A$500="Semana (2ª a 6ª)")*(Base_Dados!$B$2:$B$500="Noite"),Base_Dados!$E$2:$E$500,""))</f>
        <v/>
      </c>
      <c r="J5" s="12" t="str">
        <f t="array" ref="J5">_xlfn.TEXTJOIN(", ",TRUE(),IF((Base_Dados!$C$2:$C$500=$B5)*(Base_Dados!$A$2:$A$500="Sábado"),Base_Dados!$E$2:$E$500&amp;" ("&amp;Base_Dados!$B$2:$B$500&amp;")",""))</f>
        <v>47-LP-50 (Manhã)</v>
      </c>
      <c r="K5" s="12" t="str">
        <f t="array" ref="K5">_xlfn.TEXTJOIN(", ",TRUE(),IF((Base_Dados!$C$2:$C$500=$B5)*(Base_Dados!$A$2:$A$500="Domingo"),Base_Dados!$E$2:$E$500&amp;" ("&amp;Base_Dados!$B$2:$B$500&amp;")",""))</f>
        <v/>
      </c>
      <c r="L5" s="12">
        <f>COUNTIFS(Base_Dados!$C$2:$C$500,$B5,Base_Dados!$A$2:$A$500,"Semana (2ª a 6ª)")</f>
        <v>1</v>
      </c>
      <c r="M5" s="12">
        <f>COUNTIF(Base_Dados!$C$2:$C$500,$B5)</f>
        <v>2</v>
      </c>
      <c r="N5" s="12" t="str">
        <f>IF(M5=0,"Sem viatura atribuída",IF(L5=0,"Só ao fim de semana","OK"))</f>
        <v>OK</v>
      </c>
      <c r="O5" s="12" t="s">
        <v>119</v>
      </c>
    </row>
    <row r="6" spans="1:15" ht="28" x14ac:dyDescent="0.2">
      <c r="A6" s="27" t="s">
        <v>17</v>
      </c>
      <c r="B6" s="28" t="s">
        <v>120</v>
      </c>
      <c r="C6" s="12"/>
      <c r="D6" s="12"/>
      <c r="E6" s="12"/>
      <c r="F6" s="12"/>
      <c r="G6" s="12" t="str">
        <f t="array" ref="G6">_xlfn.TEXTJOIN(", ",TRUE(),IF((Base_Dados!$C$2:$C$500=$B6)*(Base_Dados!$A$2:$A$500="Semana (2ª a 6ª)")*(Base_Dados!$B$2:$B$500="Manhã"),Base_Dados!$E$2:$E$500,""))</f>
        <v/>
      </c>
      <c r="H6" s="12" t="str">
        <f t="array" ref="H6">_xlfn.TEXTJOIN(", ",TRUE(),IF((Base_Dados!$C$2:$C$500=$B6)*(Base_Dados!$A$2:$A$500="Semana (2ª a 6ª)")*(Base_Dados!$B$2:$B$500="Tarde"),Base_Dados!$E$2:$E$500,""))</f>
        <v/>
      </c>
      <c r="I6" s="12" t="str">
        <f t="array" ref="I6">_xlfn.TEXTJOIN(", ",TRUE(),IF((Base_Dados!$C$2:$C$500=$B6)*(Base_Dados!$A$2:$A$500="Semana (2ª a 6ª)")*(Base_Dados!$B$2:$B$500="Noite"),Base_Dados!$E$2:$E$500,""))</f>
        <v/>
      </c>
      <c r="J6" s="12" t="str">
        <f t="array" ref="J6">_xlfn.TEXTJOIN(", ",TRUE(),IF((Base_Dados!$C$2:$C$500=$B6)*(Base_Dados!$A$2:$A$500="Sábado"),Base_Dados!$E$2:$E$500&amp;" ("&amp;Base_Dados!$B$2:$B$500&amp;")",""))</f>
        <v/>
      </c>
      <c r="K6" s="12" t="str">
        <f t="array" ref="K6">_xlfn.TEXTJOIN(", ",TRUE(),IF((Base_Dados!$C$2:$C$500=$B6)*(Base_Dados!$A$2:$A$500="Domingo"),Base_Dados!$E$2:$E$500&amp;" ("&amp;Base_Dados!$B$2:$B$500&amp;")",""))</f>
        <v>58-PF-10 (Manhã)</v>
      </c>
      <c r="L6" s="12">
        <f>COUNTIFS(Base_Dados!$C$2:$C$500,$B6,Base_Dados!$A$2:$A$500,"Semana (2ª a 6ª)")</f>
        <v>0</v>
      </c>
      <c r="M6" s="12">
        <f>COUNTIF(Base_Dados!$C$2:$C$500,$B6)</f>
        <v>1</v>
      </c>
      <c r="N6" s="12" t="str">
        <f>IF(M6=0,"Sem viatura atribuída",IF(L6=0,"Só ao fim de semana","OK"))</f>
        <v>Só ao fim de semana</v>
      </c>
      <c r="O6" s="12" t="s">
        <v>121</v>
      </c>
    </row>
    <row r="7" spans="1:15" ht="28" x14ac:dyDescent="0.2">
      <c r="A7" s="27" t="s">
        <v>16</v>
      </c>
      <c r="B7" s="28" t="s">
        <v>122</v>
      </c>
      <c r="C7" s="12"/>
      <c r="D7" s="12"/>
      <c r="E7" s="12"/>
      <c r="F7" s="12"/>
      <c r="G7" s="12" t="str">
        <f t="array" ref="G7">_xlfn.TEXTJOIN(", ",TRUE(),IF((Base_Dados!$C$2:$C$500=$B7)*(Base_Dados!$A$2:$A$500="Semana (2ª a 6ª)")*(Base_Dados!$B$2:$B$500="Manhã"),Base_Dados!$E$2:$E$500,""))</f>
        <v>BZ-39-IV</v>
      </c>
      <c r="H7" s="12" t="str">
        <f t="array" ref="H7">_xlfn.TEXTJOIN(", ",TRUE(),IF((Base_Dados!$C$2:$C$500=$B7)*(Base_Dados!$A$2:$A$500="Semana (2ª a 6ª)")*(Base_Dados!$B$2:$B$500="Tarde"),Base_Dados!$E$2:$E$500,""))</f>
        <v/>
      </c>
      <c r="I7" s="12" t="str">
        <f t="array" ref="I7">_xlfn.TEXTJOIN(", ",TRUE(),IF((Base_Dados!$C$2:$C$500=$B7)*(Base_Dados!$A$2:$A$500="Semana (2ª a 6ª)")*(Base_Dados!$B$2:$B$500="Noite"),Base_Dados!$E$2:$E$500,""))</f>
        <v/>
      </c>
      <c r="J7" s="12" t="str">
        <f t="array" ref="J7">_xlfn.TEXTJOIN(", ",TRUE(),IF((Base_Dados!$C$2:$C$500=$B7)*(Base_Dados!$A$2:$A$500="Sábado"),Base_Dados!$E$2:$E$500&amp;" ("&amp;Base_Dados!$B$2:$B$500&amp;")",""))</f>
        <v>BZ-39-IV (Manhã)</v>
      </c>
      <c r="K7" s="12" t="str">
        <f t="array" ref="K7">_xlfn.TEXTJOIN(", ",TRUE(),IF((Base_Dados!$C$2:$C$500=$B7)*(Base_Dados!$A$2:$A$500="Domingo"),Base_Dados!$E$2:$E$500&amp;" ("&amp;Base_Dados!$B$2:$B$500&amp;")",""))</f>
        <v/>
      </c>
      <c r="L7" s="12">
        <f>COUNTIFS(Base_Dados!$C$2:$C$500,$B7,Base_Dados!$A$2:$A$500,"Semana (2ª a 6ª)")</f>
        <v>1</v>
      </c>
      <c r="M7" s="12">
        <f>COUNTIF(Base_Dados!$C$2:$C$500,$B7)</f>
        <v>2</v>
      </c>
      <c r="N7" s="12" t="str">
        <f>IF(M7=0,"Sem viatura atribuída",IF(L7=0,"Só ao fim de semana","OK"))</f>
        <v>OK</v>
      </c>
      <c r="O7" s="12" t="s">
        <v>123</v>
      </c>
    </row>
    <row r="8" spans="1:15" ht="28" x14ac:dyDescent="0.2">
      <c r="A8" s="27" t="s">
        <v>16</v>
      </c>
      <c r="B8" s="28" t="s">
        <v>124</v>
      </c>
      <c r="C8" s="12"/>
      <c r="D8" s="12"/>
      <c r="E8" s="12"/>
      <c r="F8" s="12"/>
      <c r="G8" s="12" t="str">
        <f t="array" ref="G8">_xlfn.TEXTJOIN(", ",TRUE(),IF((Base_Dados!$C$2:$C$500=$B8)*(Base_Dados!$A$2:$A$500="Semana (2ª a 6ª)")*(Base_Dados!$B$2:$B$500="Manhã"),Base_Dados!$E$2:$E$500,""))</f>
        <v>CA-05-PT</v>
      </c>
      <c r="H8" s="12" t="str">
        <f t="array" ref="H8">_xlfn.TEXTJOIN(", ",TRUE(),IF((Base_Dados!$C$2:$C$500=$B8)*(Base_Dados!$A$2:$A$500="Semana (2ª a 6ª)")*(Base_Dados!$B$2:$B$500="Tarde"),Base_Dados!$E$2:$E$500,""))</f>
        <v>CA-05-PT</v>
      </c>
      <c r="I8" s="12" t="str">
        <f t="array" ref="I8">_xlfn.TEXTJOIN(", ",TRUE(),IF((Base_Dados!$C$2:$C$500=$B8)*(Base_Dados!$A$2:$A$500="Semana (2ª a 6ª)")*(Base_Dados!$B$2:$B$500="Noite"),Base_Dados!$E$2:$E$500,""))</f>
        <v/>
      </c>
      <c r="J8" s="12" t="str">
        <f t="array" ref="J8">_xlfn.TEXTJOIN(", ",TRUE(),IF((Base_Dados!$C$2:$C$500=$B8)*(Base_Dados!$A$2:$A$500="Sábado"),Base_Dados!$E$2:$E$500&amp;" ("&amp;Base_Dados!$B$2:$B$500&amp;")",""))</f>
        <v/>
      </c>
      <c r="K8" s="12" t="str">
        <f t="array" ref="K8">_xlfn.TEXTJOIN(", ",TRUE(),IF((Base_Dados!$C$2:$C$500=$B8)*(Base_Dados!$A$2:$A$500="Domingo"),Base_Dados!$E$2:$E$500&amp;" ("&amp;Base_Dados!$B$2:$B$500&amp;")",""))</f>
        <v/>
      </c>
      <c r="L8" s="12">
        <f>COUNTIFS(Base_Dados!$C$2:$C$500,$B8,Base_Dados!$A$2:$A$500,"Semana (2ª a 6ª)")</f>
        <v>2</v>
      </c>
      <c r="M8" s="12">
        <f>COUNTIF(Base_Dados!$C$2:$C$500,$B8)</f>
        <v>2</v>
      </c>
      <c r="N8" s="12" t="str">
        <f>IF(M8=0,"Sem viatura atribuída",IF(L8=0,"Só ao fim de semana","OK"))</f>
        <v>OK</v>
      </c>
      <c r="O8" s="12" t="s">
        <v>125</v>
      </c>
    </row>
    <row r="9" spans="1:15" ht="56" x14ac:dyDescent="0.2">
      <c r="A9" s="27" t="s">
        <v>15</v>
      </c>
      <c r="B9" s="28" t="s">
        <v>15</v>
      </c>
      <c r="C9" s="12"/>
      <c r="D9" s="12"/>
      <c r="E9" s="12"/>
      <c r="F9" s="12"/>
      <c r="G9" s="12" t="str">
        <f t="array" ref="G9">_xlfn.TEXTJOIN(", ",TRUE(),IF((Base_Dados!$C$2:$C$500=$B9)*(Base_Dados!$A$2:$A$500="Semana (2ª a 6ª)")*(Base_Dados!$B$2:$B$500="Manhã"),Base_Dados!$E$2:$E$500,""))</f>
        <v>AT-98-PM</v>
      </c>
      <c r="H9" s="12" t="str">
        <f t="array" ref="H9">_xlfn.TEXTJOIN(", ",TRUE(),IF((Base_Dados!$C$2:$C$500=$B9)*(Base_Dados!$A$2:$A$500="Semana (2ª a 6ª)")*(Base_Dados!$B$2:$B$500="Tarde"),Base_Dados!$E$2:$E$500,""))</f>
        <v>AT-98-PM</v>
      </c>
      <c r="I9" s="12" t="str">
        <f t="array" ref="I9">_xlfn.TEXTJOIN(", ",TRUE(),IF((Base_Dados!$C$2:$C$500=$B9)*(Base_Dados!$A$2:$A$500="Semana (2ª a 6ª)")*(Base_Dados!$B$2:$B$500="Noite"),Base_Dados!$E$2:$E$500,""))</f>
        <v>AT-28-PM, 75-ZQ-13</v>
      </c>
      <c r="J9" s="12" t="str">
        <f t="array" ref="J9">_xlfn.TEXTJOIN(", ",TRUE(),IF((Base_Dados!$C$2:$C$500=$B9)*(Base_Dados!$A$2:$A$500="Sábado"),Base_Dados!$E$2:$E$500&amp;" ("&amp;Base_Dados!$B$2:$B$500&amp;")",""))</f>
        <v>AT-98-PM (Manhã), AT-98-PM (Tarde), AT-98-PM (Noite), 75-ZQ-13 (Noite)</v>
      </c>
      <c r="K9" s="12" t="str">
        <f t="array" ref="K9">_xlfn.TEXTJOIN(", ",TRUE(),IF((Base_Dados!$C$2:$C$500=$B9)*(Base_Dados!$A$2:$A$500="Domingo"),Base_Dados!$E$2:$E$500&amp;" ("&amp;Base_Dados!$B$2:$B$500&amp;")",""))</f>
        <v>AN-50-LT (Manhã), AT-98-PM (Manhã), AT-98-PM (Tarde), AT-98-PM (Noite)</v>
      </c>
      <c r="L9" s="12">
        <f>COUNTIFS(Base_Dados!$C$2:$C$500,$B9,Base_Dados!$A$2:$A$500,"Semana (2ª a 6ª)")</f>
        <v>4</v>
      </c>
      <c r="M9" s="12">
        <f>COUNTIF(Base_Dados!$C$2:$C$500,$B9)</f>
        <v>12</v>
      </c>
      <c r="N9" s="12" t="str">
        <f>IF(M9=0,"Sem viatura atribuída",IF(L9=0,"Só ao fim de semana","OK"))</f>
        <v>OK</v>
      </c>
      <c r="O9" s="12" t="s">
        <v>126</v>
      </c>
    </row>
    <row r="10" spans="1:15" ht="70" x14ac:dyDescent="0.2">
      <c r="A10" s="27" t="s">
        <v>127</v>
      </c>
      <c r="B10" s="28" t="s">
        <v>128</v>
      </c>
      <c r="C10" s="12"/>
      <c r="D10" s="12"/>
      <c r="E10" s="12"/>
      <c r="F10" s="12"/>
      <c r="G10" s="12" t="str">
        <f t="array" ref="G10">_xlfn.TEXTJOIN(", ",TRUE(),IF((Base_Dados!$C$2:$C$500=$B10)*(Base_Dados!$A$2:$A$500="Semana (2ª a 6ª)")*(Base_Dados!$B$2:$B$500="Manhã"),Base_Dados!$E$2:$E$500,""))</f>
        <v>AJ-49-UO, 29-48-XU, 74-HN-36</v>
      </c>
      <c r="H10" s="12" t="str">
        <f t="array" ref="H10">_xlfn.TEXTJOIN(", ",TRUE(),IF((Base_Dados!$C$2:$C$500=$B10)*(Base_Dados!$A$2:$A$500="Semana (2ª a 6ª)")*(Base_Dados!$B$2:$B$500="Tarde"),Base_Dados!$E$2:$E$500,""))</f>
        <v/>
      </c>
      <c r="I10" s="12" t="str">
        <f t="array" ref="I10">_xlfn.TEXTJOIN(", ",TRUE(),IF((Base_Dados!$C$2:$C$500=$B10)*(Base_Dados!$A$2:$A$500="Semana (2ª a 6ª)")*(Base_Dados!$B$2:$B$500="Noite"),Base_Dados!$E$2:$E$500,""))</f>
        <v/>
      </c>
      <c r="J10" s="12" t="str">
        <f t="array" ref="J10">_xlfn.TEXTJOIN(", ",TRUE(),IF((Base_Dados!$C$2:$C$500=$B10)*(Base_Dados!$A$2:$A$500="Sábado"),Base_Dados!$E$2:$E$500&amp;" ("&amp;Base_Dados!$B$2:$B$500&amp;")",""))</f>
        <v>65-RB-29 (Manhã), 29-48-XU (Manhã), 58-PF-10 (Manhã), AJ-49-UO (Manhã), 74-HN-36 (Manhã), 75-ZQ-13 (Manhã)</v>
      </c>
      <c r="K10" s="12" t="str">
        <f t="array" ref="K10">_xlfn.TEXTJOIN(", ",TRUE(),IF((Base_Dados!$C$2:$C$500=$B10)*(Base_Dados!$A$2:$A$500="Domingo"),Base_Dados!$E$2:$E$500&amp;" ("&amp;Base_Dados!$B$2:$B$500&amp;")",""))</f>
        <v>75-ZQ-24 (Manhã), 48-CQ-06 (Manhã)</v>
      </c>
      <c r="L10" s="12">
        <f>COUNTIFS(Base_Dados!$C$2:$C$500,$B10,Base_Dados!$A$2:$A$500,"Semana (2ª a 6ª)")</f>
        <v>3</v>
      </c>
      <c r="M10" s="12">
        <f>COUNTIF(Base_Dados!$C$2:$C$500,$B10)</f>
        <v>11</v>
      </c>
      <c r="N10" s="12" t="s">
        <v>129</v>
      </c>
      <c r="O10" s="12" t="s">
        <v>130</v>
      </c>
    </row>
  </sheetData>
  <autoFilter ref="A4:O10" xr:uid="{00000000-0009-0000-0000-000006000000}"/>
  <conditionalFormatting sqref="N5:N10">
    <cfRule type="expression" dxfId="1" priority="2">
      <formula>N5="Sem viatura atribuída"</formula>
    </cfRule>
    <cfRule type="expression" dxfId="0" priority="3">
      <formula>N5="Só ao fim de semana"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3"/>
  <sheetViews>
    <sheetView zoomScaleNormal="100" workbookViewId="0">
      <pane xSplit="1" ySplit="4" topLeftCell="B15" activePane="bottomRight" state="frozen"/>
      <selection pane="topRight" activeCell="B1" sqref="B1"/>
      <selection pane="bottomLeft" activeCell="A5" sqref="A5"/>
      <selection pane="bottomRight" activeCell="F33" sqref="F33"/>
    </sheetView>
  </sheetViews>
  <sheetFormatPr baseColWidth="10" defaultColWidth="8.6640625" defaultRowHeight="15" x14ac:dyDescent="0.2"/>
  <cols>
    <col min="1" max="1" width="12" customWidth="1"/>
    <col min="2" max="2" width="22" customWidth="1"/>
    <col min="3" max="3" width="18" customWidth="1"/>
    <col min="4" max="4" width="14" customWidth="1"/>
    <col min="5" max="5" width="32" customWidth="1"/>
    <col min="6" max="6" width="24" customWidth="1"/>
    <col min="7" max="7" width="12" customWidth="1"/>
    <col min="8" max="8" width="11" customWidth="1"/>
    <col min="9" max="9" width="45" customWidth="1"/>
  </cols>
  <sheetData>
    <row r="1" spans="1:9" ht="18" x14ac:dyDescent="0.2">
      <c r="A1" s="1" t="s">
        <v>131</v>
      </c>
    </row>
    <row r="2" spans="1:9" x14ac:dyDescent="0.2">
      <c r="A2" s="2"/>
    </row>
    <row r="4" spans="1:9" ht="31.5" customHeight="1" x14ac:dyDescent="0.2">
      <c r="A4" s="3" t="s">
        <v>132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133</v>
      </c>
      <c r="H4" s="3" t="s">
        <v>134</v>
      </c>
      <c r="I4" s="3" t="s">
        <v>28</v>
      </c>
    </row>
    <row r="5" spans="1:9" x14ac:dyDescent="0.2">
      <c r="A5" s="29" t="s">
        <v>135</v>
      </c>
      <c r="B5" s="12" t="str">
        <f t="array" ref="B5">_xlfn.TEXTJOIN(", ",TRUE(),IF((Base_Dados!$E$2:$E$500=$A5)*(Base_Dados!$A$2:$A$500="Semana (2ª a 6ª)")*(Base_Dados!$B$2:$B$500="Manhã"),Base_Dados!$C$2:$C$500,""))</f>
        <v>C6</v>
      </c>
      <c r="C5" s="12" t="str">
        <f t="array" ref="C5">_xlfn.TEXTJOIN(", ",TRUE(),IF((Base_Dados!$E$2:$E$500=$A5)*(Base_Dados!$A$2:$A$500="Semana (2ª a 6ª)")*(Base_Dados!$B$2:$B$500="Tarde"),Base_Dados!$C$2:$C$500,""))</f>
        <v>CARTÃO</v>
      </c>
      <c r="D5" s="12" t="str">
        <f t="array" ref="D5">_xlfn.TEXTJOIN(", ",TRUE(),IF((Base_Dados!$E$2:$E$500=$A5)*(Base_Dados!$A$2:$A$500="Semana (2ª a 6ª)")*(Base_Dados!$B$2:$B$500="Noite"),Base_Dados!$C$2:$C$500,""))</f>
        <v/>
      </c>
      <c r="E5" s="12" t="str">
        <f t="array" ref="E5">_xlfn.TEXTJOIN(", ",TRUE(),IF((Base_Dados!$E$2:$E$500=$A5)*(Base_Dados!$A$2:$A$500="Sábado"),Base_Dados!$C$2:$C$500&amp;" ("&amp;Base_Dados!$B$2:$B$500&amp;")",""))</f>
        <v>C6 (Manhã), CARTÃO (Tarde)</v>
      </c>
      <c r="F5" s="12" t="str">
        <f t="array" ref="F5">_xlfn.TEXTJOIN(", ",TRUE(),IF((Base_Dados!$E$2:$E$500=$A5)*(Base_Dados!$A$2:$A$500="Domingo"),Base_Dados!$C$2:$C$500&amp;" ("&amp;Base_Dados!$B$2:$B$500&amp;")",""))</f>
        <v/>
      </c>
      <c r="G5" s="12">
        <f>(COUNTIFS(Base_Dados!$E$2:$E$500,$A5,Base_Dados!$A$2:$A$500,"Semana (2ª a 6ª)",Base_Dados!$B$2:$B$500,"Manhã",Base_Dados!$C$2:$C$500,"&lt;&gt;SEM CIRCUITO")&gt;0)+(COUNTIFS(Base_Dados!$E$2:$E$500,$A5,Base_Dados!$A$2:$A$500,"Semana (2ª a 6ª)",Base_Dados!$B$2:$B$500,"Tarde",Base_Dados!$C$2:$C$500,"&lt;&gt;SEM CIRCUITO")&gt;0)+(COUNTIFS(Base_Dados!$E$2:$E$500,$A5,Base_Dados!$A$2:$A$500,"Semana (2ª a 6ª)",Base_Dados!$B$2:$B$500,"Noite",Base_Dados!$C$2:$C$500,"&lt;&gt;SEM CIRCUITO")&gt;0)</f>
        <v>2</v>
      </c>
      <c r="H5" s="12">
        <f>COUNTIFS(Base_Dados!$E$2:$E$500,$A5,Base_Dados!$C$2:$C$500,"&lt;&gt;SEM CIRCUITO")</f>
        <v>4</v>
      </c>
      <c r="I5" s="12"/>
    </row>
    <row r="6" spans="1:9" x14ac:dyDescent="0.2">
      <c r="A6" s="29" t="s">
        <v>136</v>
      </c>
      <c r="B6" s="12" t="str">
        <f t="array" ref="B6">_xlfn.TEXTJOIN(", ",TRUE(),IF((Base_Dados!$E$2:$E$500=$A6)*(Base_Dados!$A$2:$A$500="Semana (2ª a 6ª)")*(Base_Dados!$B$2:$B$500="Manhã"),Base_Dados!$C$2:$C$500,""))</f>
        <v>C16, C17</v>
      </c>
      <c r="C6" s="12" t="str">
        <f t="array" ref="C6">_xlfn.TEXTJOIN(", ",TRUE(),IF((Base_Dados!$E$2:$E$500=$A6)*(Base_Dados!$A$2:$A$500="Semana (2ª a 6ª)")*(Base_Dados!$B$2:$B$500="Tarde"),Base_Dados!$C$2:$C$500,""))</f>
        <v/>
      </c>
      <c r="D6" s="12" t="str">
        <f t="array" ref="D6">_xlfn.TEXTJOIN(", ",TRUE(),IF((Base_Dados!$E$2:$E$500=$A6)*(Base_Dados!$A$2:$A$500="Semana (2ª a 6ª)")*(Base_Dados!$B$2:$B$500="Noite"),Base_Dados!$C$2:$C$500,""))</f>
        <v/>
      </c>
      <c r="E6" s="12" t="str">
        <f t="array" ref="E6">_xlfn.TEXTJOIN(", ",TRUE(),IF((Base_Dados!$E$2:$E$500=$A6)*(Base_Dados!$A$2:$A$500="Sábado"),Base_Dados!$C$2:$C$500&amp;" ("&amp;Base_Dados!$B$2:$B$500&amp;")",""))</f>
        <v>C16 (Manhã), C17 (Manhã)</v>
      </c>
      <c r="F6" s="12" t="str">
        <f t="array" ref="F6">_xlfn.TEXTJOIN(", ",TRUE(),IF((Base_Dados!$E$2:$E$500=$A6)*(Base_Dados!$A$2:$A$500="Domingo"),Base_Dados!$C$2:$C$500&amp;" ("&amp;Base_Dados!$B$2:$B$500&amp;")",""))</f>
        <v/>
      </c>
      <c r="G6" s="12">
        <f>(COUNTIFS(Base_Dados!$E$2:$E$500,$A6,Base_Dados!$A$2:$A$500,"Semana (2ª a 6ª)",Base_Dados!$B$2:$B$500,"Manhã",Base_Dados!$C$2:$C$500,"&lt;&gt;SEM CIRCUITO")&gt;0)+(COUNTIFS(Base_Dados!$E$2:$E$500,$A6,Base_Dados!$A$2:$A$500,"Semana (2ª a 6ª)",Base_Dados!$B$2:$B$500,"Tarde",Base_Dados!$C$2:$C$500,"&lt;&gt;SEM CIRCUITO")&gt;0)+(COUNTIFS(Base_Dados!$E$2:$E$500,$A6,Base_Dados!$A$2:$A$500,"Semana (2ª a 6ª)",Base_Dados!$B$2:$B$500,"Noite",Base_Dados!$C$2:$C$500,"&lt;&gt;SEM CIRCUITO")&gt;0)</f>
        <v>1</v>
      </c>
      <c r="H6" s="12">
        <f>COUNTIFS(Base_Dados!$E$2:$E$500,$A6,Base_Dados!$C$2:$C$500,"&lt;&gt;SEM CIRCUITO")</f>
        <v>4</v>
      </c>
      <c r="I6" s="12"/>
    </row>
    <row r="7" spans="1:9" x14ac:dyDescent="0.2">
      <c r="A7" s="29" t="s">
        <v>137</v>
      </c>
      <c r="B7" s="12" t="str">
        <f t="array" ref="B7">_xlfn.TEXTJOIN(", ",TRUE(),IF((Base_Dados!$E$2:$E$500=$A7)*(Base_Dados!$A$2:$A$500="Semana (2ª a 6ª)")*(Base_Dados!$B$2:$B$500="Manhã"),Base_Dados!$C$2:$C$500,""))</f>
        <v>SEM CIRCUITO</v>
      </c>
      <c r="C7" s="12" t="str">
        <f t="array" ref="C7">_xlfn.TEXTJOIN(", ",TRUE(),IF((Base_Dados!$E$2:$E$500=$A7)*(Base_Dados!$A$2:$A$500="Semana (2ª a 6ª)")*(Base_Dados!$B$2:$B$500="Tarde"),Base_Dados!$C$2:$C$500,""))</f>
        <v/>
      </c>
      <c r="D7" s="12" t="str">
        <f t="array" ref="D7">_xlfn.TEXTJOIN(", ",TRUE(),IF((Base_Dados!$E$2:$E$500=$A7)*(Base_Dados!$A$2:$A$500="Semana (2ª a 6ª)")*(Base_Dados!$B$2:$B$500="Noite"),Base_Dados!$C$2:$C$500,""))</f>
        <v/>
      </c>
      <c r="E7" s="12" t="str">
        <f t="array" ref="E7">_xlfn.TEXTJOIN(", ",TRUE(),IF((Base_Dados!$E$2:$E$500=$A7)*(Base_Dados!$A$2:$A$500="Sábado"),Base_Dados!$C$2:$C$500&amp;" ("&amp;Base_Dados!$B$2:$B$500&amp;")",""))</f>
        <v>SEM CIRCUITO (Manhã)</v>
      </c>
      <c r="F7" s="12" t="str">
        <f t="array" ref="F7">_xlfn.TEXTJOIN(", ",TRUE(),IF((Base_Dados!$E$2:$E$500=$A7)*(Base_Dados!$A$2:$A$500="Domingo"),Base_Dados!$C$2:$C$500&amp;" ("&amp;Base_Dados!$B$2:$B$500&amp;")",""))</f>
        <v/>
      </c>
      <c r="G7" s="12">
        <f>(COUNTIFS(Base_Dados!$E$2:$E$500,$A7,Base_Dados!$A$2:$A$500,"Semana (2ª a 6ª)",Base_Dados!$B$2:$B$500,"Manhã",Base_Dados!$C$2:$C$500,"&lt;&gt;SEM CIRCUITO")&gt;0)+(COUNTIFS(Base_Dados!$E$2:$E$500,$A7,Base_Dados!$A$2:$A$500,"Semana (2ª a 6ª)",Base_Dados!$B$2:$B$500,"Tarde",Base_Dados!$C$2:$C$500,"&lt;&gt;SEM CIRCUITO")&gt;0)+(COUNTIFS(Base_Dados!$E$2:$E$500,$A7,Base_Dados!$A$2:$A$500,"Semana (2ª a 6ª)",Base_Dados!$B$2:$B$500,"Noite",Base_Dados!$C$2:$C$500,"&lt;&gt;SEM CIRCUITO")&gt;0)</f>
        <v>0</v>
      </c>
      <c r="H7" s="12">
        <f>COUNTIFS(Base_Dados!$E$2:$E$500,$A7,Base_Dados!$C$2:$C$500,"&lt;&gt;SEM CIRCUITO")</f>
        <v>0</v>
      </c>
      <c r="I7" s="12" t="s">
        <v>138</v>
      </c>
    </row>
    <row r="8" spans="1:9" x14ac:dyDescent="0.2">
      <c r="A8" s="29" t="s">
        <v>139</v>
      </c>
      <c r="B8" s="12" t="str">
        <f t="array" ref="B8">_xlfn.TEXTJOIN(", ",TRUE(),IF((Base_Dados!$E$2:$E$500=$A8)*(Base_Dados!$A$2:$A$500="Semana (2ª a 6ª)")*(Base_Dados!$B$2:$B$500="Manhã"),Base_Dados!$C$2:$C$500,""))</f>
        <v>1A/1B</v>
      </c>
      <c r="C8" s="12" t="str">
        <f t="array" ref="C8">_xlfn.TEXTJOIN(", ",TRUE(),IF((Base_Dados!$E$2:$E$500=$A8)*(Base_Dados!$A$2:$A$500="Semana (2ª a 6ª)")*(Base_Dados!$B$2:$B$500="Tarde"),Base_Dados!$C$2:$C$500,""))</f>
        <v>SELETIVO</v>
      </c>
      <c r="D8" s="12" t="str">
        <f t="array" ref="D8">_xlfn.TEXTJOIN(", ",TRUE(),IF((Base_Dados!$E$2:$E$500=$A8)*(Base_Dados!$A$2:$A$500="Semana (2ª a 6ª)")*(Base_Dados!$B$2:$B$500="Noite"),Base_Dados!$C$2:$C$500,""))</f>
        <v/>
      </c>
      <c r="E8" s="12" t="str">
        <f t="array" ref="E8">_xlfn.TEXTJOIN(", ",TRUE(),IF((Base_Dados!$E$2:$E$500=$A8)*(Base_Dados!$A$2:$A$500="Sábado"),Base_Dados!$C$2:$C$500&amp;" ("&amp;Base_Dados!$B$2:$B$500&amp;")",""))</f>
        <v>1A/1B (Manhã), SELETIVO (Tarde)</v>
      </c>
      <c r="F8" s="12" t="str">
        <f t="array" ref="F8">_xlfn.TEXTJOIN(", ",TRUE(),IF((Base_Dados!$E$2:$E$500=$A8)*(Base_Dados!$A$2:$A$500="Domingo"),Base_Dados!$C$2:$C$500&amp;" ("&amp;Base_Dados!$B$2:$B$500&amp;")",""))</f>
        <v/>
      </c>
      <c r="G8" s="12">
        <f>(COUNTIFS(Base_Dados!$E$2:$E$500,$A8,Base_Dados!$A$2:$A$500,"Semana (2ª a 6ª)",Base_Dados!$B$2:$B$500,"Manhã",Base_Dados!$C$2:$C$500,"&lt;&gt;SEM CIRCUITO")&gt;0)+(COUNTIFS(Base_Dados!$E$2:$E$500,$A8,Base_Dados!$A$2:$A$500,"Semana (2ª a 6ª)",Base_Dados!$B$2:$B$500,"Tarde",Base_Dados!$C$2:$C$500,"&lt;&gt;SEM CIRCUITO")&gt;0)+(COUNTIFS(Base_Dados!$E$2:$E$500,$A8,Base_Dados!$A$2:$A$500,"Semana (2ª a 6ª)",Base_Dados!$B$2:$B$500,"Noite",Base_Dados!$C$2:$C$500,"&lt;&gt;SEM CIRCUITO")&gt;0)</f>
        <v>2</v>
      </c>
      <c r="H8" s="12">
        <f>COUNTIFS(Base_Dados!$E$2:$E$500,$A8,Base_Dados!$C$2:$C$500,"&lt;&gt;SEM CIRCUITO")</f>
        <v>4</v>
      </c>
      <c r="I8" s="12"/>
    </row>
    <row r="9" spans="1:9" ht="28" x14ac:dyDescent="0.2">
      <c r="A9" s="29" t="s">
        <v>140</v>
      </c>
      <c r="B9" s="12" t="str">
        <f t="array" ref="B9">_xlfn.TEXTJOIN(", ",TRUE(),IF((Base_Dados!$E$2:$E$500=$A9)*(Base_Dados!$A$2:$A$500="Semana (2ª a 6ª)")*(Base_Dados!$B$2:$B$500="Manhã"),Base_Dados!$C$2:$C$500,""))</f>
        <v>MONSTROS</v>
      </c>
      <c r="C9" s="12" t="str">
        <f t="array" ref="C9">_xlfn.TEXTJOIN(", ",TRUE(),IF((Base_Dados!$E$2:$E$500=$A9)*(Base_Dados!$A$2:$A$500="Semana (2ª a 6ª)")*(Base_Dados!$B$2:$B$500="Tarde"),Base_Dados!$C$2:$C$500,""))</f>
        <v>MONSTROS</v>
      </c>
      <c r="D9" s="12" t="str">
        <f t="array" ref="D9">_xlfn.TEXTJOIN(", ",TRUE(),IF((Base_Dados!$E$2:$E$500=$A9)*(Base_Dados!$A$2:$A$500="Semana (2ª a 6ª)")*(Base_Dados!$B$2:$B$500="Noite"),Base_Dados!$C$2:$C$500,""))</f>
        <v/>
      </c>
      <c r="E9" s="12" t="str">
        <f t="array" ref="E9">_xlfn.TEXTJOIN(", ",TRUE(),IF((Base_Dados!$E$2:$E$500=$A9)*(Base_Dados!$A$2:$A$500="Sábado"),Base_Dados!$C$2:$C$500&amp;" ("&amp;Base_Dados!$B$2:$B$500&amp;")",""))</f>
        <v>MONSTROS (Manhã), MONSTROS (Tarde)</v>
      </c>
      <c r="F9" s="12" t="str">
        <f t="array" ref="F9">_xlfn.TEXTJOIN(", ",TRUE(),IF((Base_Dados!$E$2:$E$500=$A9)*(Base_Dados!$A$2:$A$500="Domingo"),Base_Dados!$C$2:$C$500&amp;" ("&amp;Base_Dados!$B$2:$B$500&amp;")",""))</f>
        <v>SEM CIRCUITO (Manhã)</v>
      </c>
      <c r="G9" s="12">
        <f>(COUNTIFS(Base_Dados!$E$2:$E$500,$A9,Base_Dados!$A$2:$A$500,"Semana (2ª a 6ª)",Base_Dados!$B$2:$B$500,"Manhã",Base_Dados!$C$2:$C$500,"&lt;&gt;SEM CIRCUITO")&gt;0)+(COUNTIFS(Base_Dados!$E$2:$E$500,$A9,Base_Dados!$A$2:$A$500,"Semana (2ª a 6ª)",Base_Dados!$B$2:$B$500,"Tarde",Base_Dados!$C$2:$C$500,"&lt;&gt;SEM CIRCUITO")&gt;0)+(COUNTIFS(Base_Dados!$E$2:$E$500,$A9,Base_Dados!$A$2:$A$500,"Semana (2ª a 6ª)",Base_Dados!$B$2:$B$500,"Noite",Base_Dados!$C$2:$C$500,"&lt;&gt;SEM CIRCUITO")&gt;0)</f>
        <v>2</v>
      </c>
      <c r="H9" s="12">
        <f>COUNTIFS(Base_Dados!$E$2:$E$500,$A9,Base_Dados!$C$2:$C$500,"&lt;&gt;SEM CIRCUITO")</f>
        <v>4</v>
      </c>
      <c r="I9" s="12"/>
    </row>
    <row r="10" spans="1:9" x14ac:dyDescent="0.2">
      <c r="A10" s="29" t="s">
        <v>141</v>
      </c>
      <c r="B10" s="12" t="str">
        <f t="array" ref="B10">_xlfn.TEXTJOIN(", ",TRUE(),IF((Base_Dados!$E$2:$E$500=$A10)*(Base_Dados!$A$2:$A$500="Semana (2ª a 6ª)")*(Base_Dados!$B$2:$B$500="Manhã"),Base_Dados!$C$2:$C$500,""))</f>
        <v>C18, C19</v>
      </c>
      <c r="C10" s="12" t="str">
        <f t="array" ref="C10">_xlfn.TEXTJOIN(", ",TRUE(),IF((Base_Dados!$E$2:$E$500=$A10)*(Base_Dados!$A$2:$A$500="Semana (2ª a 6ª)")*(Base_Dados!$B$2:$B$500="Tarde"),Base_Dados!$C$2:$C$500,""))</f>
        <v/>
      </c>
      <c r="D10" s="12" t="str">
        <f t="array" ref="D10">_xlfn.TEXTJOIN(", ",TRUE(),IF((Base_Dados!$E$2:$E$500=$A10)*(Base_Dados!$A$2:$A$500="Semana (2ª a 6ª)")*(Base_Dados!$B$2:$B$500="Noite"),Base_Dados!$C$2:$C$500,""))</f>
        <v/>
      </c>
      <c r="E10" s="12" t="str">
        <f t="array" ref="E10">_xlfn.TEXTJOIN(", ",TRUE(),IF((Base_Dados!$E$2:$E$500=$A10)*(Base_Dados!$A$2:$A$500="Sábado"),Base_Dados!$C$2:$C$500&amp;" ("&amp;Base_Dados!$B$2:$B$500&amp;")",""))</f>
        <v>C18 (Manhã), C19 (Manhã)</v>
      </c>
      <c r="F10" s="12" t="str">
        <f t="array" ref="F10">_xlfn.TEXTJOIN(", ",TRUE(),IF((Base_Dados!$E$2:$E$500=$A10)*(Base_Dados!$A$2:$A$500="Domingo"),Base_Dados!$C$2:$C$500&amp;" ("&amp;Base_Dados!$B$2:$B$500&amp;")",""))</f>
        <v/>
      </c>
      <c r="G10" s="12">
        <f>(COUNTIFS(Base_Dados!$E$2:$E$500,$A10,Base_Dados!$A$2:$A$500,"Semana (2ª a 6ª)",Base_Dados!$B$2:$B$500,"Manhã",Base_Dados!$C$2:$C$500,"&lt;&gt;SEM CIRCUITO")&gt;0)+(COUNTIFS(Base_Dados!$E$2:$E$500,$A10,Base_Dados!$A$2:$A$500,"Semana (2ª a 6ª)",Base_Dados!$B$2:$B$500,"Tarde",Base_Dados!$C$2:$C$500,"&lt;&gt;SEM CIRCUITO")&gt;0)+(COUNTIFS(Base_Dados!$E$2:$E$500,$A10,Base_Dados!$A$2:$A$500,"Semana (2ª a 6ª)",Base_Dados!$B$2:$B$500,"Noite",Base_Dados!$C$2:$C$500,"&lt;&gt;SEM CIRCUITO")&gt;0)</f>
        <v>1</v>
      </c>
      <c r="H10" s="12">
        <f>COUNTIFS(Base_Dados!$E$2:$E$500,$A10,Base_Dados!$C$2:$C$500,"&lt;&gt;SEM CIRCUITO")</f>
        <v>4</v>
      </c>
      <c r="I10" s="12"/>
    </row>
    <row r="11" spans="1:9" x14ac:dyDescent="0.2">
      <c r="A11" s="29" t="s">
        <v>142</v>
      </c>
      <c r="B11" s="12" t="str">
        <f t="array" ref="B11">_xlfn.TEXTJOIN(", ",TRUE(),IF((Base_Dados!$E$2:$E$500=$A11)*(Base_Dados!$A$2:$A$500="Semana (2ª a 6ª)")*(Base_Dados!$B$2:$B$500="Manhã"),Base_Dados!$C$2:$C$500,""))</f>
        <v>C10, C11</v>
      </c>
      <c r="C11" s="12" t="str">
        <f t="array" ref="C11">_xlfn.TEXTJOIN(", ",TRUE(),IF((Base_Dados!$E$2:$E$500=$A11)*(Base_Dados!$A$2:$A$500="Semana (2ª a 6ª)")*(Base_Dados!$B$2:$B$500="Tarde"),Base_Dados!$C$2:$C$500,""))</f>
        <v/>
      </c>
      <c r="D11" s="12" t="str">
        <f t="array" ref="D11">_xlfn.TEXTJOIN(", ",TRUE(),IF((Base_Dados!$E$2:$E$500=$A11)*(Base_Dados!$A$2:$A$500="Semana (2ª a 6ª)")*(Base_Dados!$B$2:$B$500="Noite"),Base_Dados!$C$2:$C$500,""))</f>
        <v/>
      </c>
      <c r="E11" s="12" t="str">
        <f t="array" ref="E11">_xlfn.TEXTJOIN(", ",TRUE(),IF((Base_Dados!$E$2:$E$500=$A11)*(Base_Dados!$A$2:$A$500="Sábado"),Base_Dados!$C$2:$C$500&amp;" ("&amp;Base_Dados!$B$2:$B$500&amp;")",""))</f>
        <v>C10 (Manhã), C11 (Manhã)</v>
      </c>
      <c r="F11" s="12" t="str">
        <f t="array" ref="F11">_xlfn.TEXTJOIN(", ",TRUE(),IF((Base_Dados!$E$2:$E$500=$A11)*(Base_Dados!$A$2:$A$500="Domingo"),Base_Dados!$C$2:$C$500&amp;" ("&amp;Base_Dados!$B$2:$B$500&amp;")",""))</f>
        <v/>
      </c>
      <c r="G11" s="12">
        <f>(COUNTIFS(Base_Dados!$E$2:$E$500,$A11,Base_Dados!$A$2:$A$500,"Semana (2ª a 6ª)",Base_Dados!$B$2:$B$500,"Manhã",Base_Dados!$C$2:$C$500,"&lt;&gt;SEM CIRCUITO")&gt;0)+(COUNTIFS(Base_Dados!$E$2:$E$500,$A11,Base_Dados!$A$2:$A$500,"Semana (2ª a 6ª)",Base_Dados!$B$2:$B$500,"Tarde",Base_Dados!$C$2:$C$500,"&lt;&gt;SEM CIRCUITO")&gt;0)+(COUNTIFS(Base_Dados!$E$2:$E$500,$A11,Base_Dados!$A$2:$A$500,"Semana (2ª a 6ª)",Base_Dados!$B$2:$B$500,"Noite",Base_Dados!$C$2:$C$500,"&lt;&gt;SEM CIRCUITO")&gt;0)</f>
        <v>1</v>
      </c>
      <c r="H11" s="12">
        <f>COUNTIFS(Base_Dados!$E$2:$E$500,$A11,Base_Dados!$C$2:$C$500,"&lt;&gt;SEM CIRCUITO")</f>
        <v>4</v>
      </c>
      <c r="I11" s="12"/>
    </row>
    <row r="12" spans="1:9" x14ac:dyDescent="0.2">
      <c r="A12" s="29" t="s">
        <v>143</v>
      </c>
      <c r="B12" s="12" t="str">
        <f t="array" ref="B12">_xlfn.TEXTJOIN(", ",TRUE(),IF((Base_Dados!$E$2:$E$500=$A12)*(Base_Dados!$A$2:$A$500="Semana (2ª a 6ª)")*(Base_Dados!$B$2:$B$500="Manhã"),Base_Dados!$C$2:$C$500,""))</f>
        <v>C9</v>
      </c>
      <c r="C12" s="12" t="str">
        <f t="array" ref="C12">_xlfn.TEXTJOIN(", ",TRUE(),IF((Base_Dados!$E$2:$E$500=$A12)*(Base_Dados!$A$2:$A$500="Semana (2ª a 6ª)")*(Base_Dados!$B$2:$B$500="Tarde"),Base_Dados!$C$2:$C$500,""))</f>
        <v/>
      </c>
      <c r="D12" s="12" t="str">
        <f t="array" ref="D12">_xlfn.TEXTJOIN(", ",TRUE(),IF((Base_Dados!$E$2:$E$500=$A12)*(Base_Dados!$A$2:$A$500="Semana (2ª a 6ª)")*(Base_Dados!$B$2:$B$500="Noite"),Base_Dados!$C$2:$C$500,""))</f>
        <v/>
      </c>
      <c r="E12" s="12" t="str">
        <f t="array" ref="E12">_xlfn.TEXTJOIN(", ",TRUE(),IF((Base_Dados!$E$2:$E$500=$A12)*(Base_Dados!$A$2:$A$500="Sábado"),Base_Dados!$C$2:$C$500&amp;" ("&amp;Base_Dados!$B$2:$B$500&amp;")",""))</f>
        <v>C9 (Manhã)</v>
      </c>
      <c r="F12" s="12" t="str">
        <f t="array" ref="F12">_xlfn.TEXTJOIN(", ",TRUE(),IF((Base_Dados!$E$2:$E$500=$A12)*(Base_Dados!$A$2:$A$500="Domingo"),Base_Dados!$C$2:$C$500&amp;" ("&amp;Base_Dados!$B$2:$B$500&amp;")",""))</f>
        <v/>
      </c>
      <c r="G12" s="12">
        <f>(COUNTIFS(Base_Dados!$E$2:$E$500,$A12,Base_Dados!$A$2:$A$500,"Semana (2ª a 6ª)",Base_Dados!$B$2:$B$500,"Manhã",Base_Dados!$C$2:$C$500,"&lt;&gt;SEM CIRCUITO")&gt;0)+(COUNTIFS(Base_Dados!$E$2:$E$500,$A12,Base_Dados!$A$2:$A$500,"Semana (2ª a 6ª)",Base_Dados!$B$2:$B$500,"Tarde",Base_Dados!$C$2:$C$500,"&lt;&gt;SEM CIRCUITO")&gt;0)+(COUNTIFS(Base_Dados!$E$2:$E$500,$A12,Base_Dados!$A$2:$A$500,"Semana (2ª a 6ª)",Base_Dados!$B$2:$B$500,"Noite",Base_Dados!$C$2:$C$500,"&lt;&gt;SEM CIRCUITO")&gt;0)</f>
        <v>1</v>
      </c>
      <c r="H12" s="12">
        <f>COUNTIFS(Base_Dados!$E$2:$E$500,$A12,Base_Dados!$C$2:$C$500,"&lt;&gt;SEM CIRCUITO")</f>
        <v>2</v>
      </c>
      <c r="I12" s="12"/>
    </row>
    <row r="13" spans="1:9" ht="28" x14ac:dyDescent="0.2">
      <c r="A13" s="29" t="s">
        <v>144</v>
      </c>
      <c r="B13" s="12" t="str">
        <f t="array" ref="B13">_xlfn.TEXTJOIN(", ",TRUE(),IF((Base_Dados!$E$2:$E$500=$A13)*(Base_Dados!$A$2:$A$500="Semana (2ª a 6ª)")*(Base_Dados!$B$2:$B$500="Manhã"),Base_Dados!$C$2:$C$500,""))</f>
        <v>BIO (s/ nº)</v>
      </c>
      <c r="C13" s="12" t="str">
        <f t="array" ref="C13">_xlfn.TEXTJOIN(", ",TRUE(),IF((Base_Dados!$E$2:$E$500=$A13)*(Base_Dados!$A$2:$A$500="Semana (2ª a 6ª)")*(Base_Dados!$B$2:$B$500="Tarde"),Base_Dados!$C$2:$C$500,""))</f>
        <v/>
      </c>
      <c r="D13" s="12" t="str">
        <f t="array" ref="D13">_xlfn.TEXTJOIN(", ",TRUE(),IF((Base_Dados!$E$2:$E$500=$A13)*(Base_Dados!$A$2:$A$500="Semana (2ª a 6ª)")*(Base_Dados!$B$2:$B$500="Noite"),Base_Dados!$C$2:$C$500,""))</f>
        <v/>
      </c>
      <c r="E13" s="12" t="str">
        <f t="array" ref="E13">_xlfn.TEXTJOIN(", ",TRUE(),IF((Base_Dados!$E$2:$E$500=$A13)*(Base_Dados!$A$2:$A$500="Sábado"),Base_Dados!$C$2:$C$500&amp;" ("&amp;Base_Dados!$B$2:$B$500&amp;")",""))</f>
        <v>SEM CIRCUITO (Manhã)</v>
      </c>
      <c r="F13" s="12" t="str">
        <f t="array" ref="F13">_xlfn.TEXTJOIN(", ",TRUE(),IF((Base_Dados!$E$2:$E$500=$A13)*(Base_Dados!$A$2:$A$500="Domingo"),Base_Dados!$C$2:$C$500&amp;" ("&amp;Base_Dados!$B$2:$B$500&amp;")",""))</f>
        <v>C.H (Centro Histórico) (Manhã)</v>
      </c>
      <c r="G13" s="12">
        <f>(COUNTIFS(Base_Dados!$E$2:$E$500,$A13,Base_Dados!$A$2:$A$500,"Semana (2ª a 6ª)",Base_Dados!$B$2:$B$500,"Manhã",Base_Dados!$C$2:$C$500,"&lt;&gt;SEM CIRCUITO")&gt;0)+(COUNTIFS(Base_Dados!$E$2:$E$500,$A13,Base_Dados!$A$2:$A$500,"Semana (2ª a 6ª)",Base_Dados!$B$2:$B$500,"Tarde",Base_Dados!$C$2:$C$500,"&lt;&gt;SEM CIRCUITO")&gt;0)+(COUNTIFS(Base_Dados!$E$2:$E$500,$A13,Base_Dados!$A$2:$A$500,"Semana (2ª a 6ª)",Base_Dados!$B$2:$B$500,"Noite",Base_Dados!$C$2:$C$500,"&lt;&gt;SEM CIRCUITO")&gt;0)</f>
        <v>1</v>
      </c>
      <c r="H13" s="12">
        <f>COUNTIFS(Base_Dados!$E$2:$E$500,$A13,Base_Dados!$C$2:$C$500,"&lt;&gt;SEM CIRCUITO")</f>
        <v>2</v>
      </c>
      <c r="I13" s="12"/>
    </row>
    <row r="14" spans="1:9" x14ac:dyDescent="0.2">
      <c r="A14" s="29" t="s">
        <v>145</v>
      </c>
      <c r="B14" s="12" t="str">
        <f t="array" ref="B14">_xlfn.TEXTJOIN(", ",TRUE(),IF((Base_Dados!$E$2:$E$500=$A14)*(Base_Dados!$A$2:$A$500="Semana (2ª a 6ª)")*(Base_Dados!$B$2:$B$500="Manhã"),Base_Dados!$C$2:$C$500,""))</f>
        <v>MONSTROS</v>
      </c>
      <c r="C14" s="12" t="str">
        <f t="array" ref="C14">_xlfn.TEXTJOIN(", ",TRUE(),IF((Base_Dados!$E$2:$E$500=$A14)*(Base_Dados!$A$2:$A$500="Semana (2ª a 6ª)")*(Base_Dados!$B$2:$B$500="Tarde"),Base_Dados!$C$2:$C$500,""))</f>
        <v/>
      </c>
      <c r="D14" s="12" t="str">
        <f t="array" ref="D14">_xlfn.TEXTJOIN(", ",TRUE(),IF((Base_Dados!$E$2:$E$500=$A14)*(Base_Dados!$A$2:$A$500="Semana (2ª a 6ª)")*(Base_Dados!$B$2:$B$500="Noite"),Base_Dados!$C$2:$C$500,""))</f>
        <v/>
      </c>
      <c r="E14" s="12" t="str">
        <f t="array" ref="E14">_xlfn.TEXTJOIN(", ",TRUE(),IF((Base_Dados!$E$2:$E$500=$A14)*(Base_Dados!$A$2:$A$500="Sábado"),Base_Dados!$C$2:$C$500&amp;" ("&amp;Base_Dados!$B$2:$B$500&amp;")",""))</f>
        <v>MONSTROS (Manhã)</v>
      </c>
      <c r="F14" s="12" t="str">
        <f t="array" ref="F14">_xlfn.TEXTJOIN(", ",TRUE(),IF((Base_Dados!$E$2:$E$500=$A14)*(Base_Dados!$A$2:$A$500="Domingo"),Base_Dados!$C$2:$C$500&amp;" ("&amp;Base_Dados!$B$2:$B$500&amp;")",""))</f>
        <v/>
      </c>
      <c r="G14" s="12">
        <f>(COUNTIFS(Base_Dados!$E$2:$E$500,$A14,Base_Dados!$A$2:$A$500,"Semana (2ª a 6ª)",Base_Dados!$B$2:$B$500,"Manhã",Base_Dados!$C$2:$C$500,"&lt;&gt;SEM CIRCUITO")&gt;0)+(COUNTIFS(Base_Dados!$E$2:$E$500,$A14,Base_Dados!$A$2:$A$500,"Semana (2ª a 6ª)",Base_Dados!$B$2:$B$500,"Tarde",Base_Dados!$C$2:$C$500,"&lt;&gt;SEM CIRCUITO")&gt;0)+(COUNTIFS(Base_Dados!$E$2:$E$500,$A14,Base_Dados!$A$2:$A$500,"Semana (2ª a 6ª)",Base_Dados!$B$2:$B$500,"Noite",Base_Dados!$C$2:$C$500,"&lt;&gt;SEM CIRCUITO")&gt;0)</f>
        <v>1</v>
      </c>
      <c r="H14" s="12">
        <f>COUNTIFS(Base_Dados!$E$2:$E$500,$A14,Base_Dados!$C$2:$C$500,"&lt;&gt;SEM CIRCUITO")</f>
        <v>2</v>
      </c>
      <c r="I14" s="12"/>
    </row>
    <row r="15" spans="1:9" x14ac:dyDescent="0.2">
      <c r="A15" s="29" t="s">
        <v>146</v>
      </c>
      <c r="B15" s="12" t="str">
        <f t="array" ref="B15">_xlfn.TEXTJOIN(", ",TRUE(),IF((Base_Dados!$E$2:$E$500=$A15)*(Base_Dados!$A$2:$A$500="Semana (2ª a 6ª)")*(Base_Dados!$B$2:$B$500="Manhã"),Base_Dados!$C$2:$C$500,""))</f>
        <v>BIO 3, C7</v>
      </c>
      <c r="C15" s="12" t="str">
        <f t="array" ref="C15">_xlfn.TEXTJOIN(", ",TRUE(),IF((Base_Dados!$E$2:$E$500=$A15)*(Base_Dados!$A$2:$A$500="Semana (2ª a 6ª)")*(Base_Dados!$B$2:$B$500="Tarde"),Base_Dados!$C$2:$C$500,""))</f>
        <v/>
      </c>
      <c r="D15" s="12" t="str">
        <f t="array" ref="D15">_xlfn.TEXTJOIN(", ",TRUE(),IF((Base_Dados!$E$2:$E$500=$A15)*(Base_Dados!$A$2:$A$500="Semana (2ª a 6ª)")*(Base_Dados!$B$2:$B$500="Noite"),Base_Dados!$C$2:$C$500,""))</f>
        <v/>
      </c>
      <c r="E15" s="12" t="str">
        <f t="array" ref="E15">_xlfn.TEXTJOIN(", ",TRUE(),IF((Base_Dados!$E$2:$E$500=$A15)*(Base_Dados!$A$2:$A$500="Sábado"),Base_Dados!$C$2:$C$500&amp;" ("&amp;Base_Dados!$B$2:$B$500&amp;")",""))</f>
        <v>BIO 3 (Manhã), C7 (Manhã)</v>
      </c>
      <c r="F15" s="12" t="str">
        <f t="array" ref="F15">_xlfn.TEXTJOIN(", ",TRUE(),IF((Base_Dados!$E$2:$E$500=$A15)*(Base_Dados!$A$2:$A$500="Domingo"),Base_Dados!$C$2:$C$500&amp;" ("&amp;Base_Dados!$B$2:$B$500&amp;")",""))</f>
        <v/>
      </c>
      <c r="G15" s="12">
        <f>(COUNTIFS(Base_Dados!$E$2:$E$500,$A15,Base_Dados!$A$2:$A$500,"Semana (2ª a 6ª)",Base_Dados!$B$2:$B$500,"Manhã",Base_Dados!$C$2:$C$500,"&lt;&gt;SEM CIRCUITO")&gt;0)+(COUNTIFS(Base_Dados!$E$2:$E$500,$A15,Base_Dados!$A$2:$A$500,"Semana (2ª a 6ª)",Base_Dados!$B$2:$B$500,"Tarde",Base_Dados!$C$2:$C$500,"&lt;&gt;SEM CIRCUITO")&gt;0)+(COUNTIFS(Base_Dados!$E$2:$E$500,$A15,Base_Dados!$A$2:$A$500,"Semana (2ª a 6ª)",Base_Dados!$B$2:$B$500,"Noite",Base_Dados!$C$2:$C$500,"&lt;&gt;SEM CIRCUITO")&gt;0)</f>
        <v>1</v>
      </c>
      <c r="H15" s="12">
        <f>COUNTIFS(Base_Dados!$E$2:$E$500,$A15,Base_Dados!$C$2:$C$500,"&lt;&gt;SEM CIRCUITO")</f>
        <v>4</v>
      </c>
      <c r="I15" s="12"/>
    </row>
    <row r="16" spans="1:9" ht="28" x14ac:dyDescent="0.2">
      <c r="A16" s="29" t="s">
        <v>147</v>
      </c>
      <c r="B16" s="12" t="str">
        <f t="array" ref="B16">_xlfn.TEXTJOIN(", ",TRUE(),IF((Base_Dados!$E$2:$E$500=$A16)*(Base_Dados!$A$2:$A$500="Semana (2ª a 6ª)")*(Base_Dados!$B$2:$B$500="Manhã"),Base_Dados!$C$2:$C$500,""))</f>
        <v>SELETIVO</v>
      </c>
      <c r="C16" s="12" t="str">
        <f t="array" ref="C16">_xlfn.TEXTJOIN(", ",TRUE(),IF((Base_Dados!$E$2:$E$500=$A16)*(Base_Dados!$A$2:$A$500="Semana (2ª a 6ª)")*(Base_Dados!$B$2:$B$500="Tarde"),Base_Dados!$C$2:$C$500,""))</f>
        <v/>
      </c>
      <c r="D16" s="12" t="str">
        <f t="array" ref="D16">_xlfn.TEXTJOIN(", ",TRUE(),IF((Base_Dados!$E$2:$E$500=$A16)*(Base_Dados!$A$2:$A$500="Semana (2ª a 6ª)")*(Base_Dados!$B$2:$B$500="Noite"),Base_Dados!$C$2:$C$500,""))</f>
        <v/>
      </c>
      <c r="E16" s="12" t="str">
        <f t="array" ref="E16">_xlfn.TEXTJOIN(", ",TRUE(),IF((Base_Dados!$E$2:$E$500=$A16)*(Base_Dados!$A$2:$A$500="Sábado"),Base_Dados!$C$2:$C$500&amp;" ("&amp;Base_Dados!$B$2:$B$500&amp;")",""))</f>
        <v>C1 (Manhã), SEM CIRCUITO (Manhã)</v>
      </c>
      <c r="F16" s="12" t="str">
        <f t="array" ref="F16">_xlfn.TEXTJOIN(", ",TRUE(),IF((Base_Dados!$E$2:$E$500=$A16)*(Base_Dados!$A$2:$A$500="Domingo"),Base_Dados!$C$2:$C$500&amp;" ("&amp;Base_Dados!$B$2:$B$500&amp;")",""))</f>
        <v/>
      </c>
      <c r="G16" s="12">
        <f>(COUNTIFS(Base_Dados!$E$2:$E$500,$A16,Base_Dados!$A$2:$A$500,"Semana (2ª a 6ª)",Base_Dados!$B$2:$B$500,"Manhã",Base_Dados!$C$2:$C$500,"&lt;&gt;SEM CIRCUITO")&gt;0)+(COUNTIFS(Base_Dados!$E$2:$E$500,$A16,Base_Dados!$A$2:$A$500,"Semana (2ª a 6ª)",Base_Dados!$B$2:$B$500,"Tarde",Base_Dados!$C$2:$C$500,"&lt;&gt;SEM CIRCUITO")&gt;0)+(COUNTIFS(Base_Dados!$E$2:$E$500,$A16,Base_Dados!$A$2:$A$500,"Semana (2ª a 6ª)",Base_Dados!$B$2:$B$500,"Noite",Base_Dados!$C$2:$C$500,"&lt;&gt;SEM CIRCUITO")&gt;0)</f>
        <v>1</v>
      </c>
      <c r="H16" s="12">
        <f>COUNTIFS(Base_Dados!$E$2:$E$500,$A16,Base_Dados!$C$2:$C$500,"&lt;&gt;SEM CIRCUITO")</f>
        <v>2</v>
      </c>
      <c r="I16" s="12" t="s">
        <v>148</v>
      </c>
    </row>
    <row r="17" spans="1:9" x14ac:dyDescent="0.2">
      <c r="A17" s="29" t="s">
        <v>149</v>
      </c>
      <c r="B17" s="12" t="str">
        <f t="array" ref="B17">_xlfn.TEXTJOIN(", ",TRUE(),IF((Base_Dados!$E$2:$E$500=$A17)*(Base_Dados!$A$2:$A$500="Semana (2ª a 6ª)")*(Base_Dados!$B$2:$B$500="Manhã"),Base_Dados!$C$2:$C$500,""))</f>
        <v>C1</v>
      </c>
      <c r="C17" s="12" t="str">
        <f t="array" ref="C17">_xlfn.TEXTJOIN(", ",TRUE(),IF((Base_Dados!$E$2:$E$500=$A17)*(Base_Dados!$A$2:$A$500="Semana (2ª a 6ª)")*(Base_Dados!$B$2:$B$500="Tarde"),Base_Dados!$C$2:$C$500,""))</f>
        <v>C4</v>
      </c>
      <c r="D17" s="12" t="str">
        <f t="array" ref="D17">_xlfn.TEXTJOIN(", ",TRUE(),IF((Base_Dados!$E$2:$E$500=$A17)*(Base_Dados!$A$2:$A$500="Semana (2ª a 6ª)")*(Base_Dados!$B$2:$B$500="Noite"),Base_Dados!$C$2:$C$500,""))</f>
        <v/>
      </c>
      <c r="E17" s="12" t="str">
        <f t="array" ref="E17">_xlfn.TEXTJOIN(", ",TRUE(),IF((Base_Dados!$E$2:$E$500=$A17)*(Base_Dados!$A$2:$A$500="Sábado"),Base_Dados!$C$2:$C$500&amp;" ("&amp;Base_Dados!$B$2:$B$500&amp;")",""))</f>
        <v>C4 (Tarde)</v>
      </c>
      <c r="F17" s="12" t="str">
        <f t="array" ref="F17">_xlfn.TEXTJOIN(", ",TRUE(),IF((Base_Dados!$E$2:$E$500=$A17)*(Base_Dados!$A$2:$A$500="Domingo"),Base_Dados!$C$2:$C$500&amp;" ("&amp;Base_Dados!$B$2:$B$500&amp;")",""))</f>
        <v/>
      </c>
      <c r="G17" s="12">
        <f>(COUNTIFS(Base_Dados!$E$2:$E$500,$A17,Base_Dados!$A$2:$A$500,"Semana (2ª a 6ª)",Base_Dados!$B$2:$B$500,"Manhã",Base_Dados!$C$2:$C$500,"&lt;&gt;SEM CIRCUITO")&gt;0)+(COUNTIFS(Base_Dados!$E$2:$E$500,$A17,Base_Dados!$A$2:$A$500,"Semana (2ª a 6ª)",Base_Dados!$B$2:$B$500,"Tarde",Base_Dados!$C$2:$C$500,"&lt;&gt;SEM CIRCUITO")&gt;0)+(COUNTIFS(Base_Dados!$E$2:$E$500,$A17,Base_Dados!$A$2:$A$500,"Semana (2ª a 6ª)",Base_Dados!$B$2:$B$500,"Noite",Base_Dados!$C$2:$C$500,"&lt;&gt;SEM CIRCUITO")&gt;0)</f>
        <v>2</v>
      </c>
      <c r="H17" s="12">
        <f>COUNTIFS(Base_Dados!$E$2:$E$500,$A17,Base_Dados!$C$2:$C$500,"&lt;&gt;SEM CIRCUITO")</f>
        <v>3</v>
      </c>
      <c r="I17" s="12"/>
    </row>
    <row r="18" spans="1:9" x14ac:dyDescent="0.2">
      <c r="A18" s="29" t="s">
        <v>150</v>
      </c>
      <c r="B18" s="12" t="str">
        <f t="array" ref="B18">_xlfn.TEXTJOIN(", ",TRUE(),IF((Base_Dados!$E$2:$E$500=$A18)*(Base_Dados!$A$2:$A$500="Semana (2ª a 6ª)")*(Base_Dados!$B$2:$B$500="Manhã"),Base_Dados!$C$2:$C$500,""))</f>
        <v>SEM CIRCUITO</v>
      </c>
      <c r="C18" s="12" t="str">
        <f t="array" ref="C18">_xlfn.TEXTJOIN(", ",TRUE(),IF((Base_Dados!$E$2:$E$500=$A18)*(Base_Dados!$A$2:$A$500="Semana (2ª a 6ª)")*(Base_Dados!$B$2:$B$500="Tarde"),Base_Dados!$C$2:$C$500,""))</f>
        <v/>
      </c>
      <c r="D18" s="12" t="str">
        <f t="array" ref="D18">_xlfn.TEXTJOIN(", ",TRUE(),IF((Base_Dados!$E$2:$E$500=$A18)*(Base_Dados!$A$2:$A$500="Semana (2ª a 6ª)")*(Base_Dados!$B$2:$B$500="Noite"),Base_Dados!$C$2:$C$500,""))</f>
        <v/>
      </c>
      <c r="E18" s="12" t="str">
        <f t="array" ref="E18">_xlfn.TEXTJOIN(", ",TRUE(),IF((Base_Dados!$E$2:$E$500=$A18)*(Base_Dados!$A$2:$A$500="Sábado"),Base_Dados!$C$2:$C$500&amp;" ("&amp;Base_Dados!$B$2:$B$500&amp;")",""))</f>
        <v>SEM CIRCUITO (Manhã)</v>
      </c>
      <c r="F18" s="12" t="str">
        <f t="array" ref="F18">_xlfn.TEXTJOIN(", ",TRUE(),IF((Base_Dados!$E$2:$E$500=$A18)*(Base_Dados!$A$2:$A$500="Domingo"),Base_Dados!$C$2:$C$500&amp;" ("&amp;Base_Dados!$B$2:$B$500&amp;")",""))</f>
        <v/>
      </c>
      <c r="G18" s="12">
        <f>(COUNTIFS(Base_Dados!$E$2:$E$500,$A18,Base_Dados!$A$2:$A$500,"Semana (2ª a 6ª)",Base_Dados!$B$2:$B$500,"Manhã",Base_Dados!$C$2:$C$500,"&lt;&gt;SEM CIRCUITO")&gt;0)+(COUNTIFS(Base_Dados!$E$2:$E$500,$A18,Base_Dados!$A$2:$A$500,"Semana (2ª a 6ª)",Base_Dados!$B$2:$B$500,"Tarde",Base_Dados!$C$2:$C$500,"&lt;&gt;SEM CIRCUITO")&gt;0)+(COUNTIFS(Base_Dados!$E$2:$E$500,$A18,Base_Dados!$A$2:$A$500,"Semana (2ª a 6ª)",Base_Dados!$B$2:$B$500,"Noite",Base_Dados!$C$2:$C$500,"&lt;&gt;SEM CIRCUITO")&gt;0)</f>
        <v>0</v>
      </c>
      <c r="H18" s="12">
        <f>COUNTIFS(Base_Dados!$E$2:$E$500,$A18,Base_Dados!$C$2:$C$500,"&lt;&gt;SEM CIRCUITO")</f>
        <v>0</v>
      </c>
      <c r="I18" s="12" t="s">
        <v>138</v>
      </c>
    </row>
    <row r="19" spans="1:9" ht="28" x14ac:dyDescent="0.2">
      <c r="A19" s="29" t="s">
        <v>151</v>
      </c>
      <c r="B19" s="12" t="str">
        <f t="array" ref="B19">_xlfn.TEXTJOIN(", ",TRUE(),IF((Base_Dados!$E$2:$E$500=$A19)*(Base_Dados!$A$2:$A$500="Semana (2ª a 6ª)")*(Base_Dados!$B$2:$B$500="Manhã"),Base_Dados!$C$2:$C$500,""))</f>
        <v>MONSTROS</v>
      </c>
      <c r="C19" s="12" t="str">
        <f t="array" ref="C19">_xlfn.TEXTJOIN(", ",TRUE(),IF((Base_Dados!$E$2:$E$500=$A19)*(Base_Dados!$A$2:$A$500="Semana (2ª a 6ª)")*(Base_Dados!$B$2:$B$500="Tarde"),Base_Dados!$C$2:$C$500,""))</f>
        <v>RECICLAGEM</v>
      </c>
      <c r="D19" s="12" t="str">
        <f t="array" ref="D19">_xlfn.TEXTJOIN(", ",TRUE(),IF((Base_Dados!$E$2:$E$500=$A19)*(Base_Dados!$A$2:$A$500="Semana (2ª a 6ª)")*(Base_Dados!$B$2:$B$500="Noite"),Base_Dados!$C$2:$C$500,""))</f>
        <v>PAYT</v>
      </c>
      <c r="E19" s="12" t="str">
        <f t="array" ref="E19">_xlfn.TEXTJOIN(", ",TRUE(),IF((Base_Dados!$E$2:$E$500=$A19)*(Base_Dados!$A$2:$A$500="Sábado"),Base_Dados!$C$2:$C$500&amp;" ("&amp;Base_Dados!$B$2:$B$500&amp;")",""))</f>
        <v>SEM CIRCUITO (Manhã), RECICLAGEM (Tarde), PAYT (Noite)</v>
      </c>
      <c r="F19" s="12" t="str">
        <f t="array" ref="F19">_xlfn.TEXTJOIN(", ",TRUE(),IF((Base_Dados!$E$2:$E$500=$A19)*(Base_Dados!$A$2:$A$500="Domingo"),Base_Dados!$C$2:$C$500&amp;" ("&amp;Base_Dados!$B$2:$B$500&amp;")",""))</f>
        <v/>
      </c>
      <c r="G19" s="12">
        <f>(COUNTIFS(Base_Dados!$E$2:$E$500,$A19,Base_Dados!$A$2:$A$500,"Semana (2ª a 6ª)",Base_Dados!$B$2:$B$500,"Manhã",Base_Dados!$C$2:$C$500,"&lt;&gt;SEM CIRCUITO")&gt;0)+(COUNTIFS(Base_Dados!$E$2:$E$500,$A19,Base_Dados!$A$2:$A$500,"Semana (2ª a 6ª)",Base_Dados!$B$2:$B$500,"Tarde",Base_Dados!$C$2:$C$500,"&lt;&gt;SEM CIRCUITO")&gt;0)+(COUNTIFS(Base_Dados!$E$2:$E$500,$A19,Base_Dados!$A$2:$A$500,"Semana (2ª a 6ª)",Base_Dados!$B$2:$B$500,"Noite",Base_Dados!$C$2:$C$500,"&lt;&gt;SEM CIRCUITO")&gt;0)</f>
        <v>3</v>
      </c>
      <c r="H19" s="12">
        <f>COUNTIFS(Base_Dados!$E$2:$E$500,$A19,Base_Dados!$C$2:$C$500,"&lt;&gt;SEM CIRCUITO")</f>
        <v>5</v>
      </c>
      <c r="I19" s="12" t="s">
        <v>152</v>
      </c>
    </row>
    <row r="20" spans="1:9" ht="28" x14ac:dyDescent="0.2">
      <c r="A20" s="29" t="s">
        <v>153</v>
      </c>
      <c r="B20" s="12" t="str">
        <f t="array" ref="B20">_xlfn.TEXTJOIN(", ",TRUE(),IF((Base_Dados!$E$2:$E$500=$A20)*(Base_Dados!$A$2:$A$500="Semana (2ª a 6ª)")*(Base_Dados!$B$2:$B$500="Manhã"),Base_Dados!$C$2:$C$500,""))</f>
        <v>MONSTROS</v>
      </c>
      <c r="C20" s="12" t="str">
        <f t="array" ref="C20">_xlfn.TEXTJOIN(", ",TRUE(),IF((Base_Dados!$E$2:$E$500=$A20)*(Base_Dados!$A$2:$A$500="Semana (2ª a 6ª)")*(Base_Dados!$B$2:$B$500="Tarde"),Base_Dados!$C$2:$C$500,""))</f>
        <v>MONSTROS, SELETIVO</v>
      </c>
      <c r="D20" s="12" t="str">
        <f t="array" ref="D20">_xlfn.TEXTJOIN(", ",TRUE(),IF((Base_Dados!$E$2:$E$500=$A20)*(Base_Dados!$A$2:$A$500="Semana (2ª a 6ª)")*(Base_Dados!$B$2:$B$500="Noite"),Base_Dados!$C$2:$C$500,""))</f>
        <v/>
      </c>
      <c r="E20" s="12" t="str">
        <f t="array" ref="E20">_xlfn.TEXTJOIN(", ",TRUE(),IF((Base_Dados!$E$2:$E$500=$A20)*(Base_Dados!$A$2:$A$500="Sábado"),Base_Dados!$C$2:$C$500&amp;" ("&amp;Base_Dados!$B$2:$B$500&amp;")",""))</f>
        <v>MONSTROS (Manhã), MONSTROS (Tarde)</v>
      </c>
      <c r="F20" s="12" t="str">
        <f t="array" ref="F20">_xlfn.TEXTJOIN(", ",TRUE(),IF((Base_Dados!$E$2:$E$500=$A20)*(Base_Dados!$A$2:$A$500="Domingo"),Base_Dados!$C$2:$C$500&amp;" ("&amp;Base_Dados!$B$2:$B$500&amp;")",""))</f>
        <v>SEM CIRCUITO (Manhã)</v>
      </c>
      <c r="G20" s="12">
        <f>(COUNTIFS(Base_Dados!$E$2:$E$500,$A20,Base_Dados!$A$2:$A$500,"Semana (2ª a 6ª)",Base_Dados!$B$2:$B$500,"Manhã",Base_Dados!$C$2:$C$500,"&lt;&gt;SEM CIRCUITO")&gt;0)+(COUNTIFS(Base_Dados!$E$2:$E$500,$A20,Base_Dados!$A$2:$A$500,"Semana (2ª a 6ª)",Base_Dados!$B$2:$B$500,"Tarde",Base_Dados!$C$2:$C$500,"&lt;&gt;SEM CIRCUITO")&gt;0)+(COUNTIFS(Base_Dados!$E$2:$E$500,$A20,Base_Dados!$A$2:$A$500,"Semana (2ª a 6ª)",Base_Dados!$B$2:$B$500,"Noite",Base_Dados!$C$2:$C$500,"&lt;&gt;SEM CIRCUITO")&gt;0)</f>
        <v>2</v>
      </c>
      <c r="H20" s="12">
        <f>COUNTIFS(Base_Dados!$E$2:$E$500,$A20,Base_Dados!$C$2:$C$500,"&lt;&gt;SEM CIRCUITO")</f>
        <v>5</v>
      </c>
      <c r="I20" s="12" t="s">
        <v>154</v>
      </c>
    </row>
    <row r="21" spans="1:9" x14ac:dyDescent="0.2">
      <c r="A21" s="29" t="s">
        <v>155</v>
      </c>
      <c r="B21" s="12" t="str">
        <f t="array" ref="B21">_xlfn.TEXTJOIN(", ",TRUE(),IF((Base_Dados!$E$2:$E$500=$A21)*(Base_Dados!$A$2:$A$500="Semana (2ª a 6ª)")*(Base_Dados!$B$2:$B$500="Manhã"),Base_Dados!$C$2:$C$500,""))</f>
        <v>C13</v>
      </c>
      <c r="C21" s="12" t="str">
        <f t="array" ref="C21">_xlfn.TEXTJOIN(", ",TRUE(),IF((Base_Dados!$E$2:$E$500=$A21)*(Base_Dados!$A$2:$A$500="Semana (2ª a 6ª)")*(Base_Dados!$B$2:$B$500="Tarde"),Base_Dados!$C$2:$C$500,""))</f>
        <v/>
      </c>
      <c r="D21" s="12" t="str">
        <f t="array" ref="D21">_xlfn.TEXTJOIN(", ",TRUE(),IF((Base_Dados!$E$2:$E$500=$A21)*(Base_Dados!$A$2:$A$500="Semana (2ª a 6ª)")*(Base_Dados!$B$2:$B$500="Noite"),Base_Dados!$C$2:$C$500,""))</f>
        <v/>
      </c>
      <c r="E21" s="12" t="str">
        <f t="array" ref="E21">_xlfn.TEXTJOIN(", ",TRUE(),IF((Base_Dados!$E$2:$E$500=$A21)*(Base_Dados!$A$2:$A$500="Sábado"),Base_Dados!$C$2:$C$500&amp;" ("&amp;Base_Dados!$B$2:$B$500&amp;")",""))</f>
        <v>C13 (Manhã)</v>
      </c>
      <c r="F21" s="12" t="str">
        <f t="array" ref="F21">_xlfn.TEXTJOIN(", ",TRUE(),IF((Base_Dados!$E$2:$E$500=$A21)*(Base_Dados!$A$2:$A$500="Domingo"),Base_Dados!$C$2:$C$500&amp;" ("&amp;Base_Dados!$B$2:$B$500&amp;")",""))</f>
        <v/>
      </c>
      <c r="G21" s="12">
        <f>(COUNTIFS(Base_Dados!$E$2:$E$500,$A21,Base_Dados!$A$2:$A$500,"Semana (2ª a 6ª)",Base_Dados!$B$2:$B$500,"Manhã",Base_Dados!$C$2:$C$500,"&lt;&gt;SEM CIRCUITO")&gt;0)+(COUNTIFS(Base_Dados!$E$2:$E$500,$A21,Base_Dados!$A$2:$A$500,"Semana (2ª a 6ª)",Base_Dados!$B$2:$B$500,"Tarde",Base_Dados!$C$2:$C$500,"&lt;&gt;SEM CIRCUITO")&gt;0)+(COUNTIFS(Base_Dados!$E$2:$E$500,$A21,Base_Dados!$A$2:$A$500,"Semana (2ª a 6ª)",Base_Dados!$B$2:$B$500,"Noite",Base_Dados!$C$2:$C$500,"&lt;&gt;SEM CIRCUITO")&gt;0)</f>
        <v>1</v>
      </c>
      <c r="H21" s="12">
        <f>COUNTIFS(Base_Dados!$E$2:$E$500,$A21,Base_Dados!$C$2:$C$500,"&lt;&gt;SEM CIRCUITO")</f>
        <v>2</v>
      </c>
      <c r="I21" s="12"/>
    </row>
    <row r="22" spans="1:9" x14ac:dyDescent="0.2">
      <c r="A22" s="29" t="s">
        <v>156</v>
      </c>
      <c r="B22" s="12" t="str">
        <f t="array" ref="B22">_xlfn.TEXTJOIN(", ",TRUE(),IF((Base_Dados!$E$2:$E$500=$A22)*(Base_Dados!$A$2:$A$500="Semana (2ª a 6ª)")*(Base_Dados!$B$2:$B$500="Manhã"),Base_Dados!$C$2:$C$500,""))</f>
        <v>SEM CIRCUITO</v>
      </c>
      <c r="C22" s="12" t="str">
        <f t="array" ref="C22">_xlfn.TEXTJOIN(", ",TRUE(),IF((Base_Dados!$E$2:$E$500=$A22)*(Base_Dados!$A$2:$A$500="Semana (2ª a 6ª)")*(Base_Dados!$B$2:$B$500="Tarde"),Base_Dados!$C$2:$C$500,""))</f>
        <v>C3</v>
      </c>
      <c r="D22" s="12" t="str">
        <f t="array" ref="D22">_xlfn.TEXTJOIN(", ",TRUE(),IF((Base_Dados!$E$2:$E$500=$A22)*(Base_Dados!$A$2:$A$500="Semana (2ª a 6ª)")*(Base_Dados!$B$2:$B$500="Noite"),Base_Dados!$C$2:$C$500,""))</f>
        <v/>
      </c>
      <c r="E22" s="12" t="str">
        <f t="array" ref="E22">_xlfn.TEXTJOIN(", ",TRUE(),IF((Base_Dados!$E$2:$E$500=$A22)*(Base_Dados!$A$2:$A$500="Sábado"),Base_Dados!$C$2:$C$500&amp;" ("&amp;Base_Dados!$B$2:$B$500&amp;")",""))</f>
        <v>SEM CIRCUITO (Manhã), C3 (Tarde)</v>
      </c>
      <c r="F22" s="12" t="str">
        <f t="array" ref="F22">_xlfn.TEXTJOIN(", ",TRUE(),IF((Base_Dados!$E$2:$E$500=$A22)*(Base_Dados!$A$2:$A$500="Domingo"),Base_Dados!$C$2:$C$500&amp;" ("&amp;Base_Dados!$B$2:$B$500&amp;")",""))</f>
        <v>C1 (Manhã)</v>
      </c>
      <c r="G22" s="12">
        <f>(COUNTIFS(Base_Dados!$E$2:$E$500,$A22,Base_Dados!$A$2:$A$500,"Semana (2ª a 6ª)",Base_Dados!$B$2:$B$500,"Manhã",Base_Dados!$C$2:$C$500,"&lt;&gt;SEM CIRCUITO")&gt;0)+(COUNTIFS(Base_Dados!$E$2:$E$500,$A22,Base_Dados!$A$2:$A$500,"Semana (2ª a 6ª)",Base_Dados!$B$2:$B$500,"Tarde",Base_Dados!$C$2:$C$500,"&lt;&gt;SEM CIRCUITO")&gt;0)+(COUNTIFS(Base_Dados!$E$2:$E$500,$A22,Base_Dados!$A$2:$A$500,"Semana (2ª a 6ª)",Base_Dados!$B$2:$B$500,"Noite",Base_Dados!$C$2:$C$500,"&lt;&gt;SEM CIRCUITO")&gt;0)</f>
        <v>1</v>
      </c>
      <c r="H22" s="12">
        <f>COUNTIFS(Base_Dados!$E$2:$E$500,$A22,Base_Dados!$C$2:$C$500,"&lt;&gt;SEM CIRCUITO")</f>
        <v>3</v>
      </c>
      <c r="I22" s="12"/>
    </row>
    <row r="23" spans="1:9" x14ac:dyDescent="0.2">
      <c r="A23" s="29" t="s">
        <v>157</v>
      </c>
      <c r="B23" s="12" t="str">
        <f t="array" ref="B23">_xlfn.TEXTJOIN(", ",TRUE(),IF((Base_Dados!$E$2:$E$500=$A23)*(Base_Dados!$A$2:$A$500="Semana (2ª a 6ª)")*(Base_Dados!$B$2:$B$500="Manhã"),Base_Dados!$C$2:$C$500,""))</f>
        <v>BIO 6</v>
      </c>
      <c r="C23" s="12" t="str">
        <f t="array" ref="C23">_xlfn.TEXTJOIN(", ",TRUE(),IF((Base_Dados!$E$2:$E$500=$A23)*(Base_Dados!$A$2:$A$500="Semana (2ª a 6ª)")*(Base_Dados!$B$2:$B$500="Tarde"),Base_Dados!$C$2:$C$500,""))</f>
        <v/>
      </c>
      <c r="D23" s="12" t="str">
        <f t="array" ref="D23">_xlfn.TEXTJOIN(", ",TRUE(),IF((Base_Dados!$E$2:$E$500=$A23)*(Base_Dados!$A$2:$A$500="Semana (2ª a 6ª)")*(Base_Dados!$B$2:$B$500="Noite"),Base_Dados!$C$2:$C$500,""))</f>
        <v/>
      </c>
      <c r="E23" s="12" t="str">
        <f t="array" ref="E23">_xlfn.TEXTJOIN(", ",TRUE(),IF((Base_Dados!$E$2:$E$500=$A23)*(Base_Dados!$A$2:$A$500="Sábado"),Base_Dados!$C$2:$C$500&amp;" ("&amp;Base_Dados!$B$2:$B$500&amp;")",""))</f>
        <v>BIO (s/ nº) (Manhã)</v>
      </c>
      <c r="F23" s="12" t="str">
        <f t="array" ref="F23">_xlfn.TEXTJOIN(", ",TRUE(),IF((Base_Dados!$E$2:$E$500=$A23)*(Base_Dados!$A$2:$A$500="Domingo"),Base_Dados!$C$2:$C$500&amp;" ("&amp;Base_Dados!$B$2:$B$500&amp;")",""))</f>
        <v>PAYT (Manhã)</v>
      </c>
      <c r="G23" s="12">
        <f>(COUNTIFS(Base_Dados!$E$2:$E$500,$A23,Base_Dados!$A$2:$A$500,"Semana (2ª a 6ª)",Base_Dados!$B$2:$B$500,"Manhã",Base_Dados!$C$2:$C$500,"&lt;&gt;SEM CIRCUITO")&gt;0)+(COUNTIFS(Base_Dados!$E$2:$E$500,$A23,Base_Dados!$A$2:$A$500,"Semana (2ª a 6ª)",Base_Dados!$B$2:$B$500,"Tarde",Base_Dados!$C$2:$C$500,"&lt;&gt;SEM CIRCUITO")&gt;0)+(COUNTIFS(Base_Dados!$E$2:$E$500,$A23,Base_Dados!$A$2:$A$500,"Semana (2ª a 6ª)",Base_Dados!$B$2:$B$500,"Noite",Base_Dados!$C$2:$C$500,"&lt;&gt;SEM CIRCUITO")&gt;0)</f>
        <v>1</v>
      </c>
      <c r="H23" s="12">
        <f>COUNTIFS(Base_Dados!$E$2:$E$500,$A23,Base_Dados!$C$2:$C$500,"&lt;&gt;SEM CIRCUITO")</f>
        <v>3</v>
      </c>
      <c r="I23" s="12"/>
    </row>
    <row r="24" spans="1:9" x14ac:dyDescent="0.2">
      <c r="A24" s="29" t="s">
        <v>158</v>
      </c>
      <c r="B24" s="12" t="str">
        <f t="array" ref="B24">_xlfn.TEXTJOIN(", ",TRUE(),IF((Base_Dados!$E$2:$E$500=$A24)*(Base_Dados!$A$2:$A$500="Semana (2ª a 6ª)")*(Base_Dados!$B$2:$B$500="Manhã"),Base_Dados!$C$2:$C$500,""))</f>
        <v/>
      </c>
      <c r="C24" s="12" t="str">
        <f t="array" ref="C24">_xlfn.TEXTJOIN(", ",TRUE(),IF((Base_Dados!$E$2:$E$500=$A24)*(Base_Dados!$A$2:$A$500="Semana (2ª a 6ª)")*(Base_Dados!$B$2:$B$500="Tarde"),Base_Dados!$C$2:$C$500,""))</f>
        <v>BIO 2</v>
      </c>
      <c r="D24" s="12" t="str">
        <f t="array" ref="D24">_xlfn.TEXTJOIN(", ",TRUE(),IF((Base_Dados!$E$2:$E$500=$A24)*(Base_Dados!$A$2:$A$500="Semana (2ª a 6ª)")*(Base_Dados!$B$2:$B$500="Noite"),Base_Dados!$C$2:$C$500,""))</f>
        <v>BIO 1</v>
      </c>
      <c r="E24" s="12" t="str">
        <f t="array" ref="E24">_xlfn.TEXTJOIN(", ",TRUE(),IF((Base_Dados!$E$2:$E$500=$A24)*(Base_Dados!$A$2:$A$500="Sábado"),Base_Dados!$C$2:$C$500&amp;" ("&amp;Base_Dados!$B$2:$B$500&amp;")",""))</f>
        <v>BIO 1 (Tarde), BIO 1 (Noite)</v>
      </c>
      <c r="F24" s="12" t="str">
        <f t="array" ref="F24">_xlfn.TEXTJOIN(", ",TRUE(),IF((Base_Dados!$E$2:$E$500=$A24)*(Base_Dados!$A$2:$A$500="Domingo"),Base_Dados!$C$2:$C$500&amp;" ("&amp;Base_Dados!$B$2:$B$500&amp;")",""))</f>
        <v/>
      </c>
      <c r="G24" s="12">
        <f>(COUNTIFS(Base_Dados!$E$2:$E$500,$A24,Base_Dados!$A$2:$A$500,"Semana (2ª a 6ª)",Base_Dados!$B$2:$B$500,"Manhã",Base_Dados!$C$2:$C$500,"&lt;&gt;SEM CIRCUITO")&gt;0)+(COUNTIFS(Base_Dados!$E$2:$E$500,$A24,Base_Dados!$A$2:$A$500,"Semana (2ª a 6ª)",Base_Dados!$B$2:$B$500,"Tarde",Base_Dados!$C$2:$C$500,"&lt;&gt;SEM CIRCUITO")&gt;0)+(COUNTIFS(Base_Dados!$E$2:$E$500,$A24,Base_Dados!$A$2:$A$500,"Semana (2ª a 6ª)",Base_Dados!$B$2:$B$500,"Noite",Base_Dados!$C$2:$C$500,"&lt;&gt;SEM CIRCUITO")&gt;0)</f>
        <v>2</v>
      </c>
      <c r="H24" s="12">
        <f>COUNTIFS(Base_Dados!$E$2:$E$500,$A24,Base_Dados!$C$2:$C$500,"&lt;&gt;SEM CIRCUITO")</f>
        <v>4</v>
      </c>
      <c r="I24" s="12"/>
    </row>
    <row r="25" spans="1:9" x14ac:dyDescent="0.2">
      <c r="A25" s="29" t="s">
        <v>159</v>
      </c>
      <c r="B25" s="12" t="str">
        <f t="array" ref="B25">_xlfn.TEXTJOIN(", ",TRUE(),IF((Base_Dados!$E$2:$E$500=$A25)*(Base_Dados!$A$2:$A$500="Semana (2ª a 6ª)")*(Base_Dados!$B$2:$B$500="Manhã"),Base_Dados!$C$2:$C$500,""))</f>
        <v>BIO 4</v>
      </c>
      <c r="C25" s="12" t="str">
        <f t="array" ref="C25">_xlfn.TEXTJOIN(", ",TRUE(),IF((Base_Dados!$E$2:$E$500=$A25)*(Base_Dados!$A$2:$A$500="Semana (2ª a 6ª)")*(Base_Dados!$B$2:$B$500="Tarde"),Base_Dados!$C$2:$C$500,""))</f>
        <v>BIO 1</v>
      </c>
      <c r="D25" s="12" t="str">
        <f t="array" ref="D25">_xlfn.TEXTJOIN(", ",TRUE(),IF((Base_Dados!$E$2:$E$500=$A25)*(Base_Dados!$A$2:$A$500="Semana (2ª a 6ª)")*(Base_Dados!$B$2:$B$500="Noite"),Base_Dados!$C$2:$C$500,""))</f>
        <v/>
      </c>
      <c r="E25" s="12" t="str">
        <f t="array" ref="E25">_xlfn.TEXTJOIN(", ",TRUE(),IF((Base_Dados!$E$2:$E$500=$A25)*(Base_Dados!$A$2:$A$500="Sábado"),Base_Dados!$C$2:$C$500&amp;" ("&amp;Base_Dados!$B$2:$B$500&amp;")",""))</f>
        <v>BIO (s/ nº) (Manhã), BIO 2 (Tarde)</v>
      </c>
      <c r="F25" s="12" t="str">
        <f t="array" ref="F25">_xlfn.TEXTJOIN(", ",TRUE(),IF((Base_Dados!$E$2:$E$500=$A25)*(Base_Dados!$A$2:$A$500="Domingo"),Base_Dados!$C$2:$C$500&amp;" ("&amp;Base_Dados!$B$2:$B$500&amp;")",""))</f>
        <v/>
      </c>
      <c r="G25" s="12">
        <f>(COUNTIFS(Base_Dados!$E$2:$E$500,$A25,Base_Dados!$A$2:$A$500,"Semana (2ª a 6ª)",Base_Dados!$B$2:$B$500,"Manhã",Base_Dados!$C$2:$C$500,"&lt;&gt;SEM CIRCUITO")&gt;0)+(COUNTIFS(Base_Dados!$E$2:$E$500,$A25,Base_Dados!$A$2:$A$500,"Semana (2ª a 6ª)",Base_Dados!$B$2:$B$500,"Tarde",Base_Dados!$C$2:$C$500,"&lt;&gt;SEM CIRCUITO")&gt;0)+(COUNTIFS(Base_Dados!$E$2:$E$500,$A25,Base_Dados!$A$2:$A$500,"Semana (2ª a 6ª)",Base_Dados!$B$2:$B$500,"Noite",Base_Dados!$C$2:$C$500,"&lt;&gt;SEM CIRCUITO")&gt;0)</f>
        <v>2</v>
      </c>
      <c r="H25" s="12">
        <f>COUNTIFS(Base_Dados!$E$2:$E$500,$A25,Base_Dados!$C$2:$C$500,"&lt;&gt;SEM CIRCUITO")</f>
        <v>4</v>
      </c>
      <c r="I25" s="12"/>
    </row>
    <row r="26" spans="1:9" x14ac:dyDescent="0.2">
      <c r="A26" s="29" t="s">
        <v>160</v>
      </c>
      <c r="B26" s="12" t="str">
        <f t="array" ref="B26">_xlfn.TEXTJOIN(", ",TRUE(),IF((Base_Dados!$E$2:$E$500=$A26)*(Base_Dados!$A$2:$A$500="Semana (2ª a 6ª)")*(Base_Dados!$B$2:$B$500="Manhã"),Base_Dados!$C$2:$C$500,""))</f>
        <v/>
      </c>
      <c r="C26" s="12" t="str">
        <f t="array" ref="C26">_xlfn.TEXTJOIN(", ",TRUE(),IF((Base_Dados!$E$2:$E$500=$A26)*(Base_Dados!$A$2:$A$500="Semana (2ª a 6ª)")*(Base_Dados!$B$2:$B$500="Tarde"),Base_Dados!$C$2:$C$500,""))</f>
        <v>BIO 3</v>
      </c>
      <c r="D26" s="12" t="str">
        <f t="array" ref="D26">_xlfn.TEXTJOIN(", ",TRUE(),IF((Base_Dados!$E$2:$E$500=$A26)*(Base_Dados!$A$2:$A$500="Semana (2ª a 6ª)")*(Base_Dados!$B$2:$B$500="Noite"),Base_Dados!$C$2:$C$500,""))</f>
        <v/>
      </c>
      <c r="E26" s="12" t="str">
        <f t="array" ref="E26">_xlfn.TEXTJOIN(", ",TRUE(),IF((Base_Dados!$E$2:$E$500=$A26)*(Base_Dados!$A$2:$A$500="Sábado"),Base_Dados!$C$2:$C$500&amp;" ("&amp;Base_Dados!$B$2:$B$500&amp;")",""))</f>
        <v>BIO 3 (Tarde)</v>
      </c>
      <c r="F26" s="12" t="str">
        <f t="array" ref="F26">_xlfn.TEXTJOIN(", ",TRUE(),IF((Base_Dados!$E$2:$E$500=$A26)*(Base_Dados!$A$2:$A$500="Domingo"),Base_Dados!$C$2:$C$500&amp;" ("&amp;Base_Dados!$B$2:$B$500&amp;")",""))</f>
        <v/>
      </c>
      <c r="G26" s="12">
        <f>(COUNTIFS(Base_Dados!$E$2:$E$500,$A26,Base_Dados!$A$2:$A$500,"Semana (2ª a 6ª)",Base_Dados!$B$2:$B$500,"Manhã",Base_Dados!$C$2:$C$500,"&lt;&gt;SEM CIRCUITO")&gt;0)+(COUNTIFS(Base_Dados!$E$2:$E$500,$A26,Base_Dados!$A$2:$A$500,"Semana (2ª a 6ª)",Base_Dados!$B$2:$B$500,"Tarde",Base_Dados!$C$2:$C$500,"&lt;&gt;SEM CIRCUITO")&gt;0)+(COUNTIFS(Base_Dados!$E$2:$E$500,$A26,Base_Dados!$A$2:$A$500,"Semana (2ª a 6ª)",Base_Dados!$B$2:$B$500,"Noite",Base_Dados!$C$2:$C$500,"&lt;&gt;SEM CIRCUITO")&gt;0)</f>
        <v>1</v>
      </c>
      <c r="H26" s="12">
        <f>COUNTIFS(Base_Dados!$E$2:$E$500,$A26,Base_Dados!$C$2:$C$500,"&lt;&gt;SEM CIRCUITO")</f>
        <v>2</v>
      </c>
      <c r="I26" s="12"/>
    </row>
    <row r="27" spans="1:9" ht="28" x14ac:dyDescent="0.2">
      <c r="A27" s="29" t="s">
        <v>161</v>
      </c>
      <c r="B27" s="12" t="str">
        <f t="array" ref="B27">_xlfn.TEXTJOIN(", ",TRUE(),IF((Base_Dados!$E$2:$E$500=$A27)*(Base_Dados!$A$2:$A$500="Semana (2ª a 6ª)")*(Base_Dados!$B$2:$B$500="Manhã"),Base_Dados!$C$2:$C$500,""))</f>
        <v/>
      </c>
      <c r="C27" s="12" t="str">
        <f t="array" ref="C27">_xlfn.TEXTJOIN(", ",TRUE(),IF((Base_Dados!$E$2:$E$500=$A27)*(Base_Dados!$A$2:$A$500="Semana (2ª a 6ª)")*(Base_Dados!$B$2:$B$500="Tarde"),Base_Dados!$C$2:$C$500,""))</f>
        <v/>
      </c>
      <c r="D27" s="12" t="str">
        <f t="array" ref="D27">_xlfn.TEXTJOIN(", ",TRUE(),IF((Base_Dados!$E$2:$E$500=$A27)*(Base_Dados!$A$2:$A$500="Semana (2ª a 6ª)")*(Base_Dados!$B$2:$B$500="Noite"),Base_Dados!$C$2:$C$500,""))</f>
        <v>PAYT</v>
      </c>
      <c r="E27" s="12" t="str">
        <f t="array" ref="E27">_xlfn.TEXTJOIN(", ",TRUE(),IF((Base_Dados!$E$2:$E$500=$A27)*(Base_Dados!$A$2:$A$500="Sábado"),Base_Dados!$C$2:$C$500&amp;" ("&amp;Base_Dados!$B$2:$B$500&amp;")",""))</f>
        <v/>
      </c>
      <c r="F27" s="12" t="str">
        <f t="array" ref="F27">_xlfn.TEXTJOIN(", ",TRUE(),IF((Base_Dados!$E$2:$E$500=$A27)*(Base_Dados!$A$2:$A$500="Domingo"),Base_Dados!$C$2:$C$500&amp;" ("&amp;Base_Dados!$B$2:$B$500&amp;")",""))</f>
        <v/>
      </c>
      <c r="G27" s="12">
        <f>(COUNTIFS(Base_Dados!$E$2:$E$500,$A27,Base_Dados!$A$2:$A$500,"Semana (2ª a 6ª)",Base_Dados!$B$2:$B$500,"Manhã",Base_Dados!$C$2:$C$500,"&lt;&gt;SEM CIRCUITO")&gt;0)+(COUNTIFS(Base_Dados!$E$2:$E$500,$A27,Base_Dados!$A$2:$A$500,"Semana (2ª a 6ª)",Base_Dados!$B$2:$B$500,"Tarde",Base_Dados!$C$2:$C$500,"&lt;&gt;SEM CIRCUITO")&gt;0)+(COUNTIFS(Base_Dados!$E$2:$E$500,$A27,Base_Dados!$A$2:$A$500,"Semana (2ª a 6ª)",Base_Dados!$B$2:$B$500,"Noite",Base_Dados!$C$2:$C$500,"&lt;&gt;SEM CIRCUITO")&gt;0)</f>
        <v>1</v>
      </c>
      <c r="H27" s="12">
        <f>COUNTIFS(Base_Dados!$E$2:$E$500,$A27,Base_Dados!$C$2:$C$500,"&lt;&gt;SEM CIRCUITO")</f>
        <v>1</v>
      </c>
      <c r="I27" s="12" t="s">
        <v>162</v>
      </c>
    </row>
    <row r="28" spans="1:9" ht="42" x14ac:dyDescent="0.2">
      <c r="A28" s="29" t="s">
        <v>163</v>
      </c>
      <c r="B28" s="12" t="str">
        <f t="array" ref="B28">_xlfn.TEXTJOIN(", ",TRUE(),IF((Base_Dados!$E$2:$E$500=$A28)*(Base_Dados!$A$2:$A$500="Semana (2ª a 6ª)")*(Base_Dados!$B$2:$B$500="Manhã"),Base_Dados!$C$2:$C$500,""))</f>
        <v>PAYT</v>
      </c>
      <c r="C28" s="12" t="str">
        <f t="array" ref="C28">_xlfn.TEXTJOIN(", ",TRUE(),IF((Base_Dados!$E$2:$E$500=$A28)*(Base_Dados!$A$2:$A$500="Semana (2ª a 6ª)")*(Base_Dados!$B$2:$B$500="Tarde"),Base_Dados!$C$2:$C$500,""))</f>
        <v>PAYT</v>
      </c>
      <c r="D28" s="12" t="str">
        <f t="array" ref="D28">_xlfn.TEXTJOIN(", ",TRUE(),IF((Base_Dados!$E$2:$E$500=$A28)*(Base_Dados!$A$2:$A$500="Semana (2ª a 6ª)")*(Base_Dados!$B$2:$B$500="Noite"),Base_Dados!$C$2:$C$500,""))</f>
        <v/>
      </c>
      <c r="E28" s="12" t="str">
        <f t="array" ref="E28">_xlfn.TEXTJOIN(", ",TRUE(),IF((Base_Dados!$E$2:$E$500=$A28)*(Base_Dados!$A$2:$A$500="Sábado"),Base_Dados!$C$2:$C$500&amp;" ("&amp;Base_Dados!$B$2:$B$500&amp;")",""))</f>
        <v>PAYT (Manhã), PAYT (Tarde), PAYT (Noite)</v>
      </c>
      <c r="F28" s="12" t="str">
        <f t="array" ref="F28">_xlfn.TEXTJOIN(", ",TRUE(),IF((Base_Dados!$E$2:$E$500=$A28)*(Base_Dados!$A$2:$A$500="Domingo"),Base_Dados!$C$2:$C$500&amp;" ("&amp;Base_Dados!$B$2:$B$500&amp;")",""))</f>
        <v>PAYT (Manhã), PAYT (Tarde), PAYT (Noite)</v>
      </c>
      <c r="G28" s="12">
        <f>(COUNTIFS(Base_Dados!$E$2:$E$500,$A28,Base_Dados!$A$2:$A$500,"Semana (2ª a 6ª)",Base_Dados!$B$2:$B$500,"Manhã",Base_Dados!$C$2:$C$500,"&lt;&gt;SEM CIRCUITO")&gt;0)+(COUNTIFS(Base_Dados!$E$2:$E$500,$A28,Base_Dados!$A$2:$A$500,"Semana (2ª a 6ª)",Base_Dados!$B$2:$B$500,"Tarde",Base_Dados!$C$2:$C$500,"&lt;&gt;SEM CIRCUITO")&gt;0)+(COUNTIFS(Base_Dados!$E$2:$E$500,$A28,Base_Dados!$A$2:$A$500,"Semana (2ª a 6ª)",Base_Dados!$B$2:$B$500,"Noite",Base_Dados!$C$2:$C$500,"&lt;&gt;SEM CIRCUITO")&gt;0)</f>
        <v>2</v>
      </c>
      <c r="H28" s="12">
        <f>COUNTIFS(Base_Dados!$E$2:$E$500,$A28,Base_Dados!$C$2:$C$500,"&lt;&gt;SEM CIRCUITO")</f>
        <v>8</v>
      </c>
      <c r="I28" s="12" t="s">
        <v>164</v>
      </c>
    </row>
    <row r="29" spans="1:9" x14ac:dyDescent="0.2">
      <c r="A29" s="29" t="s">
        <v>165</v>
      </c>
      <c r="B29" s="12" t="str">
        <f t="array" ref="B29">_xlfn.TEXTJOIN(", ",TRUE(),IF((Base_Dados!$E$2:$E$500=$A29)*(Base_Dados!$A$2:$A$500="Semana (2ª a 6ª)")*(Base_Dados!$B$2:$B$500="Manhã"),Base_Dados!$C$2:$C$500,""))</f>
        <v>C5</v>
      </c>
      <c r="C29" s="12" t="str">
        <f t="array" ref="C29">_xlfn.TEXTJOIN(", ",TRUE(),IF((Base_Dados!$E$2:$E$500=$A29)*(Base_Dados!$A$2:$A$500="Semana (2ª a 6ª)")*(Base_Dados!$B$2:$B$500="Tarde"),Base_Dados!$C$2:$C$500,""))</f>
        <v>C1</v>
      </c>
      <c r="D29" s="12" t="str">
        <f t="array" ref="D29">_xlfn.TEXTJOIN(", ",TRUE(),IF((Base_Dados!$E$2:$E$500=$A29)*(Base_Dados!$A$2:$A$500="Semana (2ª a 6ª)")*(Base_Dados!$B$2:$B$500="Noite"),Base_Dados!$C$2:$C$500,""))</f>
        <v/>
      </c>
      <c r="E29" s="12" t="str">
        <f t="array" ref="E29">_xlfn.TEXTJOIN(", ",TRUE(),IF((Base_Dados!$E$2:$E$500=$A29)*(Base_Dados!$A$2:$A$500="Sábado"),Base_Dados!$C$2:$C$500&amp;" ("&amp;Base_Dados!$B$2:$B$500&amp;")",""))</f>
        <v>C5 (Manhã), C1 (Tarde)</v>
      </c>
      <c r="F29" s="12" t="str">
        <f t="array" ref="F29">_xlfn.TEXTJOIN(", ",TRUE(),IF((Base_Dados!$E$2:$E$500=$A29)*(Base_Dados!$A$2:$A$500="Domingo"),Base_Dados!$C$2:$C$500&amp;" ("&amp;Base_Dados!$B$2:$B$500&amp;")",""))</f>
        <v/>
      </c>
      <c r="G29" s="12">
        <f>(COUNTIFS(Base_Dados!$E$2:$E$500,$A29,Base_Dados!$A$2:$A$500,"Semana (2ª a 6ª)",Base_Dados!$B$2:$B$500,"Manhã",Base_Dados!$C$2:$C$500,"&lt;&gt;SEM CIRCUITO")&gt;0)+(COUNTIFS(Base_Dados!$E$2:$E$500,$A29,Base_Dados!$A$2:$A$500,"Semana (2ª a 6ª)",Base_Dados!$B$2:$B$500,"Tarde",Base_Dados!$C$2:$C$500,"&lt;&gt;SEM CIRCUITO")&gt;0)+(COUNTIFS(Base_Dados!$E$2:$E$500,$A29,Base_Dados!$A$2:$A$500,"Semana (2ª a 6ª)",Base_Dados!$B$2:$B$500,"Noite",Base_Dados!$C$2:$C$500,"&lt;&gt;SEM CIRCUITO")&gt;0)</f>
        <v>2</v>
      </c>
      <c r="H29" s="12">
        <f>COUNTIFS(Base_Dados!$E$2:$E$500,$A29,Base_Dados!$C$2:$C$500,"&lt;&gt;SEM CIRCUITO")</f>
        <v>4</v>
      </c>
      <c r="I29" s="12"/>
    </row>
    <row r="30" spans="1:9" x14ac:dyDescent="0.2">
      <c r="A30" s="29" t="s">
        <v>166</v>
      </c>
      <c r="B30" s="12" t="str">
        <f t="array" ref="B30">_xlfn.TEXTJOIN(", ",TRUE(),IF((Base_Dados!$E$2:$E$500=$A30)*(Base_Dados!$A$2:$A$500="Semana (2ª a 6ª)")*(Base_Dados!$B$2:$B$500="Manhã"),Base_Dados!$C$2:$C$500,""))</f>
        <v>C14</v>
      </c>
      <c r="C30" s="12" t="str">
        <f t="array" ref="C30">_xlfn.TEXTJOIN(", ",TRUE(),IF((Base_Dados!$E$2:$E$500=$A30)*(Base_Dados!$A$2:$A$500="Semana (2ª a 6ª)")*(Base_Dados!$B$2:$B$500="Tarde"),Base_Dados!$C$2:$C$500,""))</f>
        <v/>
      </c>
      <c r="D30" s="12" t="str">
        <f t="array" ref="D30">_xlfn.TEXTJOIN(", ",TRUE(),IF((Base_Dados!$E$2:$E$500=$A30)*(Base_Dados!$A$2:$A$500="Semana (2ª a 6ª)")*(Base_Dados!$B$2:$B$500="Noite"),Base_Dados!$C$2:$C$500,""))</f>
        <v/>
      </c>
      <c r="E30" s="12" t="str">
        <f t="array" ref="E30">_xlfn.TEXTJOIN(", ",TRUE(),IF((Base_Dados!$E$2:$E$500=$A30)*(Base_Dados!$A$2:$A$500="Sábado"),Base_Dados!$C$2:$C$500&amp;" ("&amp;Base_Dados!$B$2:$B$500&amp;")",""))</f>
        <v>C14 (Manhã)</v>
      </c>
      <c r="F30" s="12" t="str">
        <f t="array" ref="F30">_xlfn.TEXTJOIN(", ",TRUE(),IF((Base_Dados!$E$2:$E$500=$A30)*(Base_Dados!$A$2:$A$500="Domingo"),Base_Dados!$C$2:$C$500&amp;" ("&amp;Base_Dados!$B$2:$B$500&amp;")",""))</f>
        <v/>
      </c>
      <c r="G30" s="12">
        <f>(COUNTIFS(Base_Dados!$E$2:$E$500,$A30,Base_Dados!$A$2:$A$500,"Semana (2ª a 6ª)",Base_Dados!$B$2:$B$500,"Manhã",Base_Dados!$C$2:$C$500,"&lt;&gt;SEM CIRCUITO")&gt;0)+(COUNTIFS(Base_Dados!$E$2:$E$500,$A30,Base_Dados!$A$2:$A$500,"Semana (2ª a 6ª)",Base_Dados!$B$2:$B$500,"Tarde",Base_Dados!$C$2:$C$500,"&lt;&gt;SEM CIRCUITO")&gt;0)+(COUNTIFS(Base_Dados!$E$2:$E$500,$A30,Base_Dados!$A$2:$A$500,"Semana (2ª a 6ª)",Base_Dados!$B$2:$B$500,"Noite",Base_Dados!$C$2:$C$500,"&lt;&gt;SEM CIRCUITO")&gt;0)</f>
        <v>1</v>
      </c>
      <c r="H30" s="12">
        <f>COUNTIFS(Base_Dados!$E$2:$E$500,$A30,Base_Dados!$C$2:$C$500,"&lt;&gt;SEM CIRCUITO")</f>
        <v>2</v>
      </c>
      <c r="I30" s="12"/>
    </row>
    <row r="31" spans="1:9" x14ac:dyDescent="0.2">
      <c r="A31" s="29" t="s">
        <v>167</v>
      </c>
      <c r="B31" s="12" t="str">
        <f t="array" ref="B31">_xlfn.TEXTJOIN(", ",TRUE(),IF((Base_Dados!$E$2:$E$500=$A31)*(Base_Dados!$A$2:$A$500="Semana (2ª a 6ª)")*(Base_Dados!$B$2:$B$500="Manhã"),Base_Dados!$C$2:$C$500,""))</f>
        <v>CONTENTORES</v>
      </c>
      <c r="C31" s="12" t="str">
        <f t="array" ref="C31">_xlfn.TEXTJOIN(", ",TRUE(),IF((Base_Dados!$E$2:$E$500=$A31)*(Base_Dados!$A$2:$A$500="Semana (2ª a 6ª)")*(Base_Dados!$B$2:$B$500="Tarde"),Base_Dados!$C$2:$C$500,""))</f>
        <v/>
      </c>
      <c r="D31" s="12" t="str">
        <f t="array" ref="D31">_xlfn.TEXTJOIN(", ",TRUE(),IF((Base_Dados!$E$2:$E$500=$A31)*(Base_Dados!$A$2:$A$500="Semana (2ª a 6ª)")*(Base_Dados!$B$2:$B$500="Noite"),Base_Dados!$C$2:$C$500,""))</f>
        <v/>
      </c>
      <c r="E31" s="12" t="str">
        <f t="array" ref="E31">_xlfn.TEXTJOIN(", ",TRUE(),IF((Base_Dados!$E$2:$E$500=$A31)*(Base_Dados!$A$2:$A$500="Sábado"),Base_Dados!$C$2:$C$500&amp;" ("&amp;Base_Dados!$B$2:$B$500&amp;")",""))</f>
        <v>CONTENTORES (Manhã)</v>
      </c>
      <c r="F31" s="12" t="str">
        <f t="array" ref="F31">_xlfn.TEXTJOIN(", ",TRUE(),IF((Base_Dados!$E$2:$E$500=$A31)*(Base_Dados!$A$2:$A$500="Domingo"),Base_Dados!$C$2:$C$500&amp;" ("&amp;Base_Dados!$B$2:$B$500&amp;")",""))</f>
        <v/>
      </c>
      <c r="G31" s="12">
        <f>(COUNTIFS(Base_Dados!$E$2:$E$500,$A31,Base_Dados!$A$2:$A$500,"Semana (2ª a 6ª)",Base_Dados!$B$2:$B$500,"Manhã",Base_Dados!$C$2:$C$500,"&lt;&gt;SEM CIRCUITO")&gt;0)+(COUNTIFS(Base_Dados!$E$2:$E$500,$A31,Base_Dados!$A$2:$A$500,"Semana (2ª a 6ª)",Base_Dados!$B$2:$B$500,"Tarde",Base_Dados!$C$2:$C$500,"&lt;&gt;SEM CIRCUITO")&gt;0)+(COUNTIFS(Base_Dados!$E$2:$E$500,$A31,Base_Dados!$A$2:$A$500,"Semana (2ª a 6ª)",Base_Dados!$B$2:$B$500,"Noite",Base_Dados!$C$2:$C$500,"&lt;&gt;SEM CIRCUITO")&gt;0)</f>
        <v>1</v>
      </c>
      <c r="H31" s="12">
        <f>COUNTIFS(Base_Dados!$E$2:$E$500,$A31,Base_Dados!$C$2:$C$500,"&lt;&gt;SEM CIRCUITO")</f>
        <v>2</v>
      </c>
      <c r="I31" s="12"/>
    </row>
    <row r="32" spans="1:9" ht="28" x14ac:dyDescent="0.2">
      <c r="A32" s="29" t="s">
        <v>168</v>
      </c>
      <c r="B32" s="12" t="str">
        <f t="array" ref="B32">_xlfn.TEXTJOIN(", ",TRUE(),IF((Base_Dados!$E$2:$E$500=$A32)*(Base_Dados!$A$2:$A$500="Semana (2ª a 6ª)")*(Base_Dados!$B$2:$B$500="Manhã"),Base_Dados!$C$2:$C$500,""))</f>
        <v>LAVAGEM CONTENTORES</v>
      </c>
      <c r="C32" s="12" t="str">
        <f t="array" ref="C32">_xlfn.TEXTJOIN(", ",TRUE(),IF((Base_Dados!$E$2:$E$500=$A32)*(Base_Dados!$A$2:$A$500="Semana (2ª a 6ª)")*(Base_Dados!$B$2:$B$500="Tarde"),Base_Dados!$C$2:$C$500,""))</f>
        <v>LAVAGEM CONTENTORES</v>
      </c>
      <c r="D32" s="12" t="str">
        <f t="array" ref="D32">_xlfn.TEXTJOIN(", ",TRUE(),IF((Base_Dados!$E$2:$E$500=$A32)*(Base_Dados!$A$2:$A$500="Semana (2ª a 6ª)")*(Base_Dados!$B$2:$B$500="Noite"),Base_Dados!$C$2:$C$500,""))</f>
        <v/>
      </c>
      <c r="E32" s="12" t="str">
        <f t="array" ref="E32">_xlfn.TEXTJOIN(", ",TRUE(),IF((Base_Dados!$E$2:$E$500=$A32)*(Base_Dados!$A$2:$A$500="Sábado"),Base_Dados!$C$2:$C$500&amp;" ("&amp;Base_Dados!$B$2:$B$500&amp;")",""))</f>
        <v/>
      </c>
      <c r="F32" s="12" t="str">
        <f t="array" ref="F32">_xlfn.TEXTJOIN(", ",TRUE(),IF((Base_Dados!$E$2:$E$500=$A32)*(Base_Dados!$A$2:$A$500="Domingo"),Base_Dados!$C$2:$C$500&amp;" ("&amp;Base_Dados!$B$2:$B$500&amp;")",""))</f>
        <v/>
      </c>
      <c r="G32" s="12">
        <f>(COUNTIFS(Base_Dados!$E$2:$E$500,$A32,Base_Dados!$A$2:$A$500,"Semana (2ª a 6ª)",Base_Dados!$B$2:$B$500,"Manhã",Base_Dados!$C$2:$C$500,"&lt;&gt;SEM CIRCUITO")&gt;0)+(COUNTIFS(Base_Dados!$E$2:$E$500,$A32,Base_Dados!$A$2:$A$500,"Semana (2ª a 6ª)",Base_Dados!$B$2:$B$500,"Tarde",Base_Dados!$C$2:$C$500,"&lt;&gt;SEM CIRCUITO")&gt;0)+(COUNTIFS(Base_Dados!$E$2:$E$500,$A32,Base_Dados!$A$2:$A$500,"Semana (2ª a 6ª)",Base_Dados!$B$2:$B$500,"Noite",Base_Dados!$C$2:$C$500,"&lt;&gt;SEM CIRCUITO")&gt;0)</f>
        <v>2</v>
      </c>
      <c r="H32" s="12">
        <f>COUNTIFS(Base_Dados!$E$2:$E$500,$A32,Base_Dados!$C$2:$C$500,"&lt;&gt;SEM CIRCUITO")</f>
        <v>2</v>
      </c>
      <c r="I32" s="12"/>
    </row>
    <row r="33" spans="1:9" x14ac:dyDescent="0.2">
      <c r="A33" s="29" t="s">
        <v>169</v>
      </c>
      <c r="B33" s="12" t="str">
        <f t="array" ref="B33">_xlfn.TEXTJOIN(", ",TRUE(),IF((Base_Dados!$E$2:$E$500=$A33)*(Base_Dados!$A$2:$A$500="Semana (2ª a 6ª)")*(Base_Dados!$B$2:$B$500="Manhã"),Base_Dados!$C$2:$C$500,""))</f>
        <v>C2</v>
      </c>
      <c r="C33" s="12" t="str">
        <f t="array" ref="C33">_xlfn.TEXTJOIN(", ",TRUE(),IF((Base_Dados!$E$2:$E$500=$A33)*(Base_Dados!$A$2:$A$500="Semana (2ª a 6ª)")*(Base_Dados!$B$2:$B$500="Tarde"),Base_Dados!$C$2:$C$500,""))</f>
        <v>C6</v>
      </c>
      <c r="D33" s="12" t="str">
        <f t="array" ref="D33">_xlfn.TEXTJOIN(", ",TRUE(),IF((Base_Dados!$E$2:$E$500=$A33)*(Base_Dados!$A$2:$A$500="Semana (2ª a 6ª)")*(Base_Dados!$B$2:$B$500="Noite"),Base_Dados!$C$2:$C$500,""))</f>
        <v/>
      </c>
      <c r="E33" s="12" t="str">
        <f t="array" ref="E33">_xlfn.TEXTJOIN(", ",TRUE(),IF((Base_Dados!$E$2:$E$500=$A33)*(Base_Dados!$A$2:$A$500="Sábado"),Base_Dados!$C$2:$C$500&amp;" ("&amp;Base_Dados!$B$2:$B$500&amp;")",""))</f>
        <v>C2 (Manhã), C6 (Tarde)</v>
      </c>
      <c r="F33" s="12" t="str">
        <f t="array" ref="F33">_xlfn.TEXTJOIN(", ",TRUE(),IF((Base_Dados!$E$2:$E$500=$A33)*(Base_Dados!$A$2:$A$500="Domingo"),Base_Dados!$C$2:$C$500&amp;" ("&amp;Base_Dados!$B$2:$B$500&amp;")",""))</f>
        <v/>
      </c>
      <c r="G33" s="12">
        <f>(COUNTIFS(Base_Dados!$E$2:$E$500,$A33,Base_Dados!$A$2:$A$500,"Semana (2ª a 6ª)",Base_Dados!$B$2:$B$500,"Manhã",Base_Dados!$C$2:$C$500,"&lt;&gt;SEM CIRCUITO")&gt;0)+(COUNTIFS(Base_Dados!$E$2:$E$500,$A33,Base_Dados!$A$2:$A$500,"Semana (2ª a 6ª)",Base_Dados!$B$2:$B$500,"Tarde",Base_Dados!$C$2:$C$500,"&lt;&gt;SEM CIRCUITO")&gt;0)+(COUNTIFS(Base_Dados!$E$2:$E$500,$A33,Base_Dados!$A$2:$A$500,"Semana (2ª a 6ª)",Base_Dados!$B$2:$B$500,"Noite",Base_Dados!$C$2:$C$500,"&lt;&gt;SEM CIRCUITO")&gt;0)</f>
        <v>2</v>
      </c>
      <c r="H33" s="12">
        <f>COUNTIFS(Base_Dados!$E$2:$E$500,$A33,Base_Dados!$C$2:$C$500,"&lt;&gt;SEM CIRCUITO")</f>
        <v>4</v>
      </c>
      <c r="I33" s="12"/>
    </row>
  </sheetData>
  <autoFilter ref="A4:I33" xr:uid="{00000000-0009-0000-0000-000007000000}"/>
  <conditionalFormatting sqref="G5:G33">
    <cfRule type="colorScale" priority="2">
      <colorScale>
        <cfvo type="num" val="0"/>
        <cfvo type="num" val="1"/>
        <cfvo type="num" val="3"/>
        <color rgb="FFF8CBAD"/>
        <color rgb="FFFFFFFF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5"/>
  <sheetViews>
    <sheetView zoomScaleNormal="100" workbookViewId="0">
      <selection activeCell="C16" sqref="C16"/>
    </sheetView>
  </sheetViews>
  <sheetFormatPr baseColWidth="10" defaultColWidth="8.6640625" defaultRowHeight="15" x14ac:dyDescent="0.2"/>
  <cols>
    <col min="1" max="1" width="4" customWidth="1"/>
    <col min="2" max="2" width="24" customWidth="1"/>
    <col min="3" max="3" width="70" customWidth="1"/>
    <col min="4" max="4" width="45" customWidth="1"/>
  </cols>
  <sheetData>
    <row r="1" spans="1:4" ht="18" x14ac:dyDescent="0.2">
      <c r="A1" s="30" t="s">
        <v>239</v>
      </c>
    </row>
    <row r="3" spans="1:4" x14ac:dyDescent="0.2">
      <c r="A3" s="3" t="s">
        <v>170</v>
      </c>
      <c r="B3" s="3" t="s">
        <v>171</v>
      </c>
      <c r="C3" s="3" t="s">
        <v>172</v>
      </c>
      <c r="D3" s="3" t="s">
        <v>173</v>
      </c>
    </row>
    <row r="4" spans="1:4" ht="28" x14ac:dyDescent="0.2">
      <c r="A4" s="12">
        <v>1</v>
      </c>
      <c r="B4" s="29" t="s">
        <v>174</v>
      </c>
      <c r="C4" s="12" t="s">
        <v>175</v>
      </c>
      <c r="D4" s="12" t="s">
        <v>176</v>
      </c>
    </row>
    <row r="5" spans="1:4" ht="42" x14ac:dyDescent="0.2">
      <c r="A5" s="12">
        <v>2</v>
      </c>
      <c r="B5" s="29" t="s">
        <v>177</v>
      </c>
      <c r="C5" s="12" t="s">
        <v>178</v>
      </c>
      <c r="D5" s="12" t="s">
        <v>179</v>
      </c>
    </row>
    <row r="6" spans="1:4" x14ac:dyDescent="0.2">
      <c r="A6" s="12">
        <v>3</v>
      </c>
      <c r="B6" s="29" t="s">
        <v>180</v>
      </c>
      <c r="C6" s="12" t="s">
        <v>181</v>
      </c>
      <c r="D6" s="12" t="s">
        <v>182</v>
      </c>
    </row>
    <row r="7" spans="1:4" ht="28" x14ac:dyDescent="0.2">
      <c r="A7" s="12">
        <v>4</v>
      </c>
      <c r="B7" s="29" t="s">
        <v>183</v>
      </c>
      <c r="C7" s="12" t="s">
        <v>184</v>
      </c>
      <c r="D7" s="12" t="s">
        <v>185</v>
      </c>
    </row>
    <row r="8" spans="1:4" ht="28" x14ac:dyDescent="0.2">
      <c r="A8" s="12">
        <v>5</v>
      </c>
      <c r="B8" s="29" t="s">
        <v>183</v>
      </c>
      <c r="C8" s="12" t="s">
        <v>186</v>
      </c>
      <c r="D8" s="12" t="s">
        <v>187</v>
      </c>
    </row>
    <row r="9" spans="1:4" ht="28" x14ac:dyDescent="0.2">
      <c r="A9" s="12">
        <v>6</v>
      </c>
      <c r="B9" s="29" t="s">
        <v>188</v>
      </c>
      <c r="C9" s="12" t="s">
        <v>189</v>
      </c>
      <c r="D9" s="12" t="s">
        <v>190</v>
      </c>
    </row>
    <row r="10" spans="1:4" ht="28" x14ac:dyDescent="0.2">
      <c r="A10" s="12">
        <v>7</v>
      </c>
      <c r="B10" s="29" t="s">
        <v>191</v>
      </c>
      <c r="C10" s="12" t="s">
        <v>192</v>
      </c>
      <c r="D10" s="12" t="s">
        <v>193</v>
      </c>
    </row>
    <row r="11" spans="1:4" ht="28" x14ac:dyDescent="0.2">
      <c r="A11" s="12">
        <v>8</v>
      </c>
      <c r="B11" s="29" t="s">
        <v>194</v>
      </c>
      <c r="C11" s="12" t="s">
        <v>195</v>
      </c>
      <c r="D11" s="12" t="s">
        <v>196</v>
      </c>
    </row>
    <row r="12" spans="1:4" ht="28" x14ac:dyDescent="0.2">
      <c r="A12" s="12">
        <v>9</v>
      </c>
      <c r="B12" s="29" t="s">
        <v>197</v>
      </c>
      <c r="C12" s="12" t="s">
        <v>198</v>
      </c>
      <c r="D12" s="12" t="s">
        <v>199</v>
      </c>
    </row>
    <row r="13" spans="1:4" ht="28" x14ac:dyDescent="0.2">
      <c r="A13" s="12">
        <v>10</v>
      </c>
      <c r="B13" s="29" t="s">
        <v>200</v>
      </c>
      <c r="C13" s="12" t="s">
        <v>201</v>
      </c>
      <c r="D13" s="12" t="s">
        <v>202</v>
      </c>
    </row>
    <row r="14" spans="1:4" ht="28" x14ac:dyDescent="0.2">
      <c r="A14" s="12">
        <v>11</v>
      </c>
      <c r="B14" s="29" t="s">
        <v>203</v>
      </c>
      <c r="C14" s="12" t="s">
        <v>204</v>
      </c>
      <c r="D14" s="12" t="s">
        <v>205</v>
      </c>
    </row>
    <row r="15" spans="1:4" ht="42" x14ac:dyDescent="0.2">
      <c r="A15" s="12">
        <v>12</v>
      </c>
      <c r="B15" s="29" t="s">
        <v>206</v>
      </c>
      <c r="C15" s="12" t="s">
        <v>207</v>
      </c>
      <c r="D15" s="12" t="s">
        <v>208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02"/>
  <sheetViews>
    <sheetView tabSelected="1" zoomScaleNormal="100" workbookViewId="0">
      <pane ySplit="1" topLeftCell="A2" activePane="bottomLeft" state="frozen"/>
      <selection pane="bottomLeft" activeCell="E111" sqref="E111"/>
    </sheetView>
  </sheetViews>
  <sheetFormatPr baseColWidth="10" defaultColWidth="8.6640625" defaultRowHeight="15" x14ac:dyDescent="0.2"/>
  <cols>
    <col min="1" max="1" width="16" customWidth="1"/>
    <col min="2" max="2" width="9" customWidth="1"/>
    <col min="3" max="4" width="20" customWidth="1"/>
    <col min="5" max="5" width="12" customWidth="1"/>
    <col min="6" max="6" width="11" customWidth="1"/>
    <col min="7" max="7" width="13" customWidth="1"/>
    <col min="8" max="8" width="40" customWidth="1"/>
    <col min="9" max="9" width="18" customWidth="1"/>
    <col min="10" max="10" width="30" customWidth="1"/>
    <col min="11" max="11" width="34" customWidth="1"/>
  </cols>
  <sheetData>
    <row r="1" spans="1:11" ht="28" x14ac:dyDescent="0.2">
      <c r="A1" s="3" t="s">
        <v>209</v>
      </c>
      <c r="B1" s="3" t="s">
        <v>210</v>
      </c>
      <c r="C1" s="3" t="s">
        <v>20</v>
      </c>
      <c r="D1" s="3" t="s">
        <v>1</v>
      </c>
      <c r="E1" s="3" t="s">
        <v>132</v>
      </c>
      <c r="F1" s="3" t="s">
        <v>211</v>
      </c>
      <c r="G1" s="3" t="s">
        <v>21</v>
      </c>
      <c r="H1" s="3" t="s">
        <v>22</v>
      </c>
      <c r="I1" s="3" t="s">
        <v>212</v>
      </c>
      <c r="J1" s="3" t="s">
        <v>213</v>
      </c>
      <c r="K1" s="3" t="s">
        <v>28</v>
      </c>
    </row>
    <row r="2" spans="1:11" ht="15" customHeight="1" x14ac:dyDescent="0.2">
      <c r="A2" s="12" t="s">
        <v>214</v>
      </c>
      <c r="B2" s="12" t="s">
        <v>215</v>
      </c>
      <c r="C2" s="12" t="s">
        <v>53</v>
      </c>
      <c r="D2" s="12" t="s">
        <v>12</v>
      </c>
      <c r="E2" s="12" t="s">
        <v>149</v>
      </c>
      <c r="F2" s="12">
        <v>2</v>
      </c>
      <c r="G2" s="12" t="s">
        <v>54</v>
      </c>
      <c r="H2" s="12" t="s">
        <v>55</v>
      </c>
      <c r="I2" s="12" t="s">
        <v>53</v>
      </c>
      <c r="J2" s="12" t="s">
        <v>216</v>
      </c>
      <c r="K2" s="12"/>
    </row>
    <row r="3" spans="1:11" ht="15" customHeight="1" x14ac:dyDescent="0.2">
      <c r="A3" s="12" t="s">
        <v>214</v>
      </c>
      <c r="B3" s="12" t="s">
        <v>215</v>
      </c>
      <c r="C3" s="12" t="s">
        <v>57</v>
      </c>
      <c r="D3" s="12" t="s">
        <v>12</v>
      </c>
      <c r="E3" s="12" t="s">
        <v>169</v>
      </c>
      <c r="F3" s="12">
        <v>2</v>
      </c>
      <c r="G3" s="12" t="s">
        <v>54</v>
      </c>
      <c r="H3" s="12" t="s">
        <v>58</v>
      </c>
      <c r="I3" s="12" t="s">
        <v>57</v>
      </c>
      <c r="J3" s="12" t="s">
        <v>216</v>
      </c>
      <c r="K3" s="12"/>
    </row>
    <row r="4" spans="1:11" ht="15" customHeight="1" x14ac:dyDescent="0.2">
      <c r="A4" s="12" t="s">
        <v>214</v>
      </c>
      <c r="B4" s="12" t="s">
        <v>215</v>
      </c>
      <c r="C4" s="12" t="s">
        <v>38</v>
      </c>
      <c r="D4" s="12" t="s">
        <v>11</v>
      </c>
      <c r="E4" s="12" t="s">
        <v>146</v>
      </c>
      <c r="F4" s="12">
        <v>3</v>
      </c>
      <c r="G4" s="12" t="s">
        <v>35</v>
      </c>
      <c r="H4" s="12" t="s">
        <v>39</v>
      </c>
      <c r="I4" s="12" t="s">
        <v>217</v>
      </c>
      <c r="J4" s="12" t="s">
        <v>216</v>
      </c>
      <c r="K4" s="12" t="s">
        <v>218</v>
      </c>
    </row>
    <row r="5" spans="1:11" ht="15" customHeight="1" x14ac:dyDescent="0.2">
      <c r="A5" s="12" t="s">
        <v>214</v>
      </c>
      <c r="B5" s="12" t="s">
        <v>215</v>
      </c>
      <c r="C5" s="12" t="s">
        <v>42</v>
      </c>
      <c r="D5" s="12" t="s">
        <v>11</v>
      </c>
      <c r="E5" s="12" t="s">
        <v>159</v>
      </c>
      <c r="F5" s="12">
        <v>3</v>
      </c>
      <c r="G5" s="12" t="s">
        <v>35</v>
      </c>
      <c r="H5" s="12" t="s">
        <v>43</v>
      </c>
      <c r="I5" s="12" t="s">
        <v>219</v>
      </c>
      <c r="J5" s="12" t="s">
        <v>216</v>
      </c>
      <c r="K5" s="12"/>
    </row>
    <row r="6" spans="1:11" ht="15" customHeight="1" x14ac:dyDescent="0.2">
      <c r="A6" s="12" t="s">
        <v>214</v>
      </c>
      <c r="B6" s="12" t="s">
        <v>215</v>
      </c>
      <c r="C6" s="12" t="s">
        <v>63</v>
      </c>
      <c r="D6" s="12" t="s">
        <v>12</v>
      </c>
      <c r="E6" s="12" t="s">
        <v>165</v>
      </c>
      <c r="F6" s="12">
        <v>3</v>
      </c>
      <c r="G6" s="12" t="s">
        <v>54</v>
      </c>
      <c r="H6" s="12" t="s">
        <v>64</v>
      </c>
      <c r="I6" s="12" t="s">
        <v>63</v>
      </c>
      <c r="J6" s="12" t="s">
        <v>216</v>
      </c>
      <c r="K6" s="12"/>
    </row>
    <row r="7" spans="1:11" ht="15" customHeight="1" x14ac:dyDescent="0.2">
      <c r="A7" s="12" t="s">
        <v>214</v>
      </c>
      <c r="B7" s="12" t="s">
        <v>215</v>
      </c>
      <c r="C7" s="12" t="s">
        <v>46</v>
      </c>
      <c r="D7" s="12" t="s">
        <v>11</v>
      </c>
      <c r="E7" s="12" t="s">
        <v>157</v>
      </c>
      <c r="F7" s="12">
        <v>3</v>
      </c>
      <c r="G7" s="12" t="s">
        <v>35</v>
      </c>
      <c r="H7" s="12" t="s">
        <v>47</v>
      </c>
      <c r="I7" s="12" t="s">
        <v>220</v>
      </c>
      <c r="J7" s="12" t="s">
        <v>216</v>
      </c>
      <c r="K7" s="12"/>
    </row>
    <row r="8" spans="1:11" ht="15" customHeight="1" x14ac:dyDescent="0.2">
      <c r="A8" s="12" t="s">
        <v>214</v>
      </c>
      <c r="B8" s="12" t="s">
        <v>215</v>
      </c>
      <c r="C8" s="12" t="s">
        <v>65</v>
      </c>
      <c r="D8" s="12" t="s">
        <v>12</v>
      </c>
      <c r="E8" s="12" t="s">
        <v>135</v>
      </c>
      <c r="F8" s="12">
        <v>3</v>
      </c>
      <c r="G8" s="12" t="s">
        <v>54</v>
      </c>
      <c r="H8" s="12" t="s">
        <v>66</v>
      </c>
      <c r="I8" s="12" t="s">
        <v>65</v>
      </c>
      <c r="J8" s="12" t="s">
        <v>216</v>
      </c>
      <c r="K8" s="12"/>
    </row>
    <row r="9" spans="1:11" ht="15" customHeight="1" x14ac:dyDescent="0.2">
      <c r="A9" s="12" t="s">
        <v>214</v>
      </c>
      <c r="B9" s="12" t="s">
        <v>215</v>
      </c>
      <c r="C9" s="12" t="s">
        <v>67</v>
      </c>
      <c r="D9" s="12" t="s">
        <v>12</v>
      </c>
      <c r="E9" s="12" t="s">
        <v>146</v>
      </c>
      <c r="F9" s="12">
        <v>3</v>
      </c>
      <c r="G9" s="12" t="s">
        <v>30</v>
      </c>
      <c r="H9" s="12" t="s">
        <v>68</v>
      </c>
      <c r="I9" s="12" t="s">
        <v>217</v>
      </c>
      <c r="J9" s="12" t="s">
        <v>216</v>
      </c>
      <c r="K9" s="12" t="s">
        <v>218</v>
      </c>
    </row>
    <row r="10" spans="1:11" ht="15" customHeight="1" x14ac:dyDescent="0.2">
      <c r="A10" s="12" t="s">
        <v>214</v>
      </c>
      <c r="B10" s="12" t="s">
        <v>215</v>
      </c>
      <c r="C10" s="12" t="s">
        <v>73</v>
      </c>
      <c r="D10" s="12" t="s">
        <v>12</v>
      </c>
      <c r="E10" s="12" t="s">
        <v>143</v>
      </c>
      <c r="F10" s="12">
        <v>3</v>
      </c>
      <c r="G10" s="12" t="s">
        <v>30</v>
      </c>
      <c r="H10" s="12" t="s">
        <v>74</v>
      </c>
      <c r="I10" s="12" t="s">
        <v>73</v>
      </c>
      <c r="J10" s="12" t="s">
        <v>216</v>
      </c>
      <c r="K10" s="12"/>
    </row>
    <row r="11" spans="1:11" ht="15" customHeight="1" x14ac:dyDescent="0.2">
      <c r="A11" s="12" t="s">
        <v>214</v>
      </c>
      <c r="B11" s="12" t="s">
        <v>215</v>
      </c>
      <c r="C11" s="12" t="s">
        <v>76</v>
      </c>
      <c r="D11" s="12" t="s">
        <v>12</v>
      </c>
      <c r="E11" s="12" t="s">
        <v>142</v>
      </c>
      <c r="F11" s="12">
        <v>3</v>
      </c>
      <c r="G11" s="12" t="s">
        <v>30</v>
      </c>
      <c r="H11" s="12" t="s">
        <v>77</v>
      </c>
      <c r="I11" s="12" t="s">
        <v>221</v>
      </c>
      <c r="J11" s="12" t="s">
        <v>216</v>
      </c>
      <c r="K11" s="12" t="s">
        <v>218</v>
      </c>
    </row>
    <row r="12" spans="1:11" ht="15" customHeight="1" x14ac:dyDescent="0.2">
      <c r="A12" s="12" t="s">
        <v>214</v>
      </c>
      <c r="B12" s="12" t="s">
        <v>215</v>
      </c>
      <c r="C12" s="12" t="s">
        <v>79</v>
      </c>
      <c r="D12" s="12" t="s">
        <v>12</v>
      </c>
      <c r="E12" s="12" t="s">
        <v>142</v>
      </c>
      <c r="F12" s="12">
        <v>3</v>
      </c>
      <c r="G12" s="12" t="s">
        <v>30</v>
      </c>
      <c r="H12" s="12" t="s">
        <v>80</v>
      </c>
      <c r="I12" s="12" t="s">
        <v>221</v>
      </c>
      <c r="J12" s="12" t="s">
        <v>216</v>
      </c>
      <c r="K12" s="12" t="s">
        <v>218</v>
      </c>
    </row>
    <row r="13" spans="1:11" ht="15" customHeight="1" x14ac:dyDescent="0.2">
      <c r="A13" s="12" t="s">
        <v>214</v>
      </c>
      <c r="B13" s="12" t="s">
        <v>215</v>
      </c>
      <c r="C13" s="12" t="s">
        <v>84</v>
      </c>
      <c r="D13" s="12" t="s">
        <v>12</v>
      </c>
      <c r="E13" s="12" t="s">
        <v>155</v>
      </c>
      <c r="F13" s="12">
        <v>3</v>
      </c>
      <c r="G13" s="12" t="s">
        <v>30</v>
      </c>
      <c r="H13" s="12" t="s">
        <v>85</v>
      </c>
      <c r="I13" s="12" t="s">
        <v>84</v>
      </c>
      <c r="J13" s="12" t="s">
        <v>216</v>
      </c>
      <c r="K13" s="12"/>
    </row>
    <row r="14" spans="1:11" ht="15" customHeight="1" x14ac:dyDescent="0.2">
      <c r="A14" s="12" t="s">
        <v>214</v>
      </c>
      <c r="B14" s="12" t="s">
        <v>215</v>
      </c>
      <c r="C14" s="12" t="s">
        <v>87</v>
      </c>
      <c r="D14" s="12" t="s">
        <v>12</v>
      </c>
      <c r="E14" s="12" t="s">
        <v>166</v>
      </c>
      <c r="F14" s="12">
        <v>3</v>
      </c>
      <c r="G14" s="12" t="s">
        <v>30</v>
      </c>
      <c r="H14" s="12" t="s">
        <v>88</v>
      </c>
      <c r="I14" s="12" t="s">
        <v>87</v>
      </c>
      <c r="J14" s="12" t="s">
        <v>216</v>
      </c>
      <c r="K14" s="12"/>
    </row>
    <row r="15" spans="1:11" ht="15" customHeight="1" x14ac:dyDescent="0.2">
      <c r="A15" s="12" t="s">
        <v>214</v>
      </c>
      <c r="B15" s="12" t="s">
        <v>215</v>
      </c>
      <c r="C15" s="12" t="s">
        <v>91</v>
      </c>
      <c r="D15" s="12" t="s">
        <v>12</v>
      </c>
      <c r="E15" s="12" t="s">
        <v>136</v>
      </c>
      <c r="F15" s="12">
        <v>3</v>
      </c>
      <c r="G15" s="12" t="s">
        <v>30</v>
      </c>
      <c r="H15" s="12" t="s">
        <v>92</v>
      </c>
      <c r="I15" s="12" t="s">
        <v>222</v>
      </c>
      <c r="J15" s="12" t="s">
        <v>216</v>
      </c>
      <c r="K15" s="12" t="s">
        <v>218</v>
      </c>
    </row>
    <row r="16" spans="1:11" ht="15" customHeight="1" x14ac:dyDescent="0.2">
      <c r="A16" s="12" t="s">
        <v>214</v>
      </c>
      <c r="B16" s="12" t="s">
        <v>215</v>
      </c>
      <c r="C16" s="12" t="s">
        <v>93</v>
      </c>
      <c r="D16" s="12" t="s">
        <v>12</v>
      </c>
      <c r="E16" s="12" t="s">
        <v>136</v>
      </c>
      <c r="F16" s="12">
        <v>3</v>
      </c>
      <c r="G16" s="12" t="s">
        <v>30</v>
      </c>
      <c r="H16" s="12" t="s">
        <v>94</v>
      </c>
      <c r="I16" s="12" t="s">
        <v>222</v>
      </c>
      <c r="J16" s="12" t="s">
        <v>216</v>
      </c>
      <c r="K16" s="12" t="s">
        <v>218</v>
      </c>
    </row>
    <row r="17" spans="1:11" ht="15" customHeight="1" x14ac:dyDescent="0.2">
      <c r="A17" s="12" t="s">
        <v>214</v>
      </c>
      <c r="B17" s="12" t="s">
        <v>215</v>
      </c>
      <c r="C17" s="12" t="s">
        <v>95</v>
      </c>
      <c r="D17" s="12" t="s">
        <v>12</v>
      </c>
      <c r="E17" s="12" t="s">
        <v>141</v>
      </c>
      <c r="F17" s="12">
        <v>3</v>
      </c>
      <c r="G17" s="12" t="s">
        <v>30</v>
      </c>
      <c r="H17" s="12" t="s">
        <v>96</v>
      </c>
      <c r="I17" s="12" t="s">
        <v>223</v>
      </c>
      <c r="J17" s="12" t="s">
        <v>216</v>
      </c>
      <c r="K17" s="12" t="s">
        <v>218</v>
      </c>
    </row>
    <row r="18" spans="1:11" ht="15" customHeight="1" x14ac:dyDescent="0.2">
      <c r="A18" s="12" t="s">
        <v>214</v>
      </c>
      <c r="B18" s="12" t="s">
        <v>215</v>
      </c>
      <c r="C18" s="12" t="s">
        <v>97</v>
      </c>
      <c r="D18" s="12" t="s">
        <v>12</v>
      </c>
      <c r="E18" s="12" t="s">
        <v>141</v>
      </c>
      <c r="F18" s="12">
        <v>3</v>
      </c>
      <c r="G18" s="12" t="s">
        <v>30</v>
      </c>
      <c r="H18" s="12" t="s">
        <v>98</v>
      </c>
      <c r="I18" s="12" t="s">
        <v>223</v>
      </c>
      <c r="J18" s="12" t="s">
        <v>216</v>
      </c>
      <c r="K18" s="12" t="s">
        <v>218</v>
      </c>
    </row>
    <row r="19" spans="1:11" ht="15" customHeight="1" x14ac:dyDescent="0.2">
      <c r="A19" s="12" t="s">
        <v>214</v>
      </c>
      <c r="B19" s="12" t="s">
        <v>215</v>
      </c>
      <c r="C19" s="12" t="s">
        <v>118</v>
      </c>
      <c r="D19" s="12" t="s">
        <v>17</v>
      </c>
      <c r="E19" s="12" t="s">
        <v>139</v>
      </c>
      <c r="F19" s="12">
        <v>3</v>
      </c>
      <c r="G19" s="12"/>
      <c r="H19" s="12"/>
      <c r="I19" s="12" t="s">
        <v>224</v>
      </c>
      <c r="J19" s="12" t="s">
        <v>216</v>
      </c>
      <c r="K19" s="12" t="s">
        <v>218</v>
      </c>
    </row>
    <row r="20" spans="1:11" ht="15" customHeight="1" x14ac:dyDescent="0.2">
      <c r="A20" s="12" t="s">
        <v>214</v>
      </c>
      <c r="B20" s="12" t="s">
        <v>215</v>
      </c>
      <c r="C20" s="12" t="s">
        <v>50</v>
      </c>
      <c r="D20" s="12" t="s">
        <v>11</v>
      </c>
      <c r="E20" s="12" t="s">
        <v>144</v>
      </c>
      <c r="F20" s="12">
        <v>3</v>
      </c>
      <c r="G20" s="12"/>
      <c r="H20" s="12"/>
      <c r="I20" s="12" t="s">
        <v>225</v>
      </c>
      <c r="J20" s="12" t="s">
        <v>216</v>
      </c>
      <c r="K20" s="12"/>
    </row>
    <row r="21" spans="1:11" ht="15" customHeight="1" x14ac:dyDescent="0.2">
      <c r="A21" s="12" t="s">
        <v>214</v>
      </c>
      <c r="B21" s="12" t="s">
        <v>215</v>
      </c>
      <c r="C21" s="12" t="s">
        <v>122</v>
      </c>
      <c r="D21" s="12" t="s">
        <v>16</v>
      </c>
      <c r="E21" s="12" t="s">
        <v>167</v>
      </c>
      <c r="F21" s="12">
        <v>1</v>
      </c>
      <c r="G21" s="12"/>
      <c r="H21" s="12"/>
      <c r="I21" s="12" t="s">
        <v>122</v>
      </c>
      <c r="J21" s="12" t="s">
        <v>216</v>
      </c>
      <c r="K21" s="12"/>
    </row>
    <row r="22" spans="1:11" ht="15" customHeight="1" x14ac:dyDescent="0.2">
      <c r="A22" s="12" t="s">
        <v>214</v>
      </c>
      <c r="B22" s="12" t="s">
        <v>215</v>
      </c>
      <c r="C22" s="12" t="s">
        <v>124</v>
      </c>
      <c r="D22" s="12" t="s">
        <v>16</v>
      </c>
      <c r="E22" s="12" t="s">
        <v>168</v>
      </c>
      <c r="F22" s="12">
        <v>2</v>
      </c>
      <c r="G22" s="12"/>
      <c r="H22" s="12"/>
      <c r="I22" s="12" t="s">
        <v>226</v>
      </c>
      <c r="J22" s="12" t="s">
        <v>216</v>
      </c>
      <c r="K22" s="12" t="s">
        <v>227</v>
      </c>
    </row>
    <row r="23" spans="1:11" ht="15" customHeight="1" x14ac:dyDescent="0.2">
      <c r="A23" s="12" t="s">
        <v>214</v>
      </c>
      <c r="B23" s="12" t="s">
        <v>215</v>
      </c>
      <c r="C23" s="12" t="s">
        <v>115</v>
      </c>
      <c r="D23" s="12" t="s">
        <v>14</v>
      </c>
      <c r="E23" s="12" t="s">
        <v>145</v>
      </c>
      <c r="F23" s="12">
        <v>2</v>
      </c>
      <c r="G23" s="12"/>
      <c r="H23" s="12"/>
      <c r="I23" s="12" t="s">
        <v>115</v>
      </c>
      <c r="J23" s="12" t="s">
        <v>216</v>
      </c>
      <c r="K23" s="12"/>
    </row>
    <row r="24" spans="1:11" ht="15" customHeight="1" x14ac:dyDescent="0.2">
      <c r="A24" s="12" t="s">
        <v>214</v>
      </c>
      <c r="B24" s="12" t="s">
        <v>215</v>
      </c>
      <c r="C24" s="12" t="s">
        <v>115</v>
      </c>
      <c r="D24" s="12" t="s">
        <v>14</v>
      </c>
      <c r="E24" s="12" t="s">
        <v>153</v>
      </c>
      <c r="F24" s="12">
        <v>0</v>
      </c>
      <c r="G24" s="12"/>
      <c r="H24" s="12"/>
      <c r="I24" s="12" t="s">
        <v>115</v>
      </c>
      <c r="J24" s="12" t="s">
        <v>216</v>
      </c>
      <c r="K24" s="12"/>
    </row>
    <row r="25" spans="1:11" ht="15" customHeight="1" x14ac:dyDescent="0.2">
      <c r="A25" s="12" t="s">
        <v>214</v>
      </c>
      <c r="B25" s="12" t="s">
        <v>215</v>
      </c>
      <c r="C25" s="12" t="s">
        <v>115</v>
      </c>
      <c r="D25" s="12" t="s">
        <v>14</v>
      </c>
      <c r="E25" s="12" t="s">
        <v>140</v>
      </c>
      <c r="F25" s="12">
        <v>2</v>
      </c>
      <c r="G25" s="12"/>
      <c r="H25" s="12"/>
      <c r="I25" s="12" t="s">
        <v>115</v>
      </c>
      <c r="J25" s="12" t="s">
        <v>216</v>
      </c>
      <c r="K25" s="12"/>
    </row>
    <row r="26" spans="1:11" ht="15" customHeight="1" x14ac:dyDescent="0.2">
      <c r="A26" s="12" t="s">
        <v>214</v>
      </c>
      <c r="B26" s="12" t="s">
        <v>215</v>
      </c>
      <c r="C26" s="12" t="s">
        <v>115</v>
      </c>
      <c r="D26" s="12" t="s">
        <v>14</v>
      </c>
      <c r="E26" s="12" t="s">
        <v>151</v>
      </c>
      <c r="F26" s="12">
        <v>1</v>
      </c>
      <c r="G26" s="12"/>
      <c r="H26" s="12"/>
      <c r="I26" s="12" t="s">
        <v>115</v>
      </c>
      <c r="J26" s="12" t="s">
        <v>228</v>
      </c>
      <c r="K26" s="12" t="s">
        <v>227</v>
      </c>
    </row>
    <row r="27" spans="1:11" ht="15" customHeight="1" x14ac:dyDescent="0.2">
      <c r="A27" s="12" t="s">
        <v>214</v>
      </c>
      <c r="B27" s="12" t="s">
        <v>215</v>
      </c>
      <c r="C27" s="12" t="s">
        <v>15</v>
      </c>
      <c r="D27" s="12" t="s">
        <v>15</v>
      </c>
      <c r="E27" s="12" t="s">
        <v>163</v>
      </c>
      <c r="F27" s="12">
        <v>2</v>
      </c>
      <c r="G27" s="12"/>
      <c r="H27" s="12"/>
      <c r="I27" s="12" t="s">
        <v>15</v>
      </c>
      <c r="J27" s="12" t="s">
        <v>216</v>
      </c>
      <c r="K27" s="12"/>
    </row>
    <row r="28" spans="1:11" ht="15" customHeight="1" x14ac:dyDescent="0.2">
      <c r="A28" s="12" t="s">
        <v>214</v>
      </c>
      <c r="B28" s="12" t="s">
        <v>215</v>
      </c>
      <c r="C28" s="12" t="s">
        <v>113</v>
      </c>
      <c r="D28" s="12" t="s">
        <v>13</v>
      </c>
      <c r="E28" s="12" t="s">
        <v>147</v>
      </c>
      <c r="F28" s="12">
        <v>2</v>
      </c>
      <c r="G28" s="12"/>
      <c r="H28" s="12"/>
      <c r="I28" s="12" t="s">
        <v>113</v>
      </c>
      <c r="J28" s="12" t="s">
        <v>216</v>
      </c>
      <c r="K28" s="12"/>
    </row>
    <row r="29" spans="1:11" ht="15" customHeight="1" x14ac:dyDescent="0.2">
      <c r="A29" s="12" t="s">
        <v>214</v>
      </c>
      <c r="B29" s="12" t="s">
        <v>215</v>
      </c>
      <c r="C29" s="12" t="s">
        <v>128</v>
      </c>
      <c r="D29" s="12" t="s">
        <v>127</v>
      </c>
      <c r="E29" s="12" t="s">
        <v>156</v>
      </c>
      <c r="F29" s="12">
        <v>3</v>
      </c>
      <c r="G29" s="12"/>
      <c r="H29" s="12"/>
      <c r="I29" s="12" t="s">
        <v>229</v>
      </c>
      <c r="J29" s="12" t="s">
        <v>216</v>
      </c>
      <c r="K29" s="12" t="s">
        <v>227</v>
      </c>
    </row>
    <row r="30" spans="1:11" ht="15" customHeight="1" x14ac:dyDescent="0.2">
      <c r="A30" s="12" t="s">
        <v>214</v>
      </c>
      <c r="B30" s="12" t="s">
        <v>215</v>
      </c>
      <c r="C30" s="12" t="s">
        <v>128</v>
      </c>
      <c r="D30" s="12" t="s">
        <v>127</v>
      </c>
      <c r="E30" s="12" t="s">
        <v>137</v>
      </c>
      <c r="F30" s="12">
        <v>3</v>
      </c>
      <c r="G30" s="12"/>
      <c r="H30" s="12"/>
      <c r="I30" s="12" t="s">
        <v>229</v>
      </c>
      <c r="J30" s="12" t="s">
        <v>216</v>
      </c>
      <c r="K30" s="12" t="s">
        <v>227</v>
      </c>
    </row>
    <row r="31" spans="1:11" ht="15" customHeight="1" x14ac:dyDescent="0.2">
      <c r="A31" s="12" t="s">
        <v>214</v>
      </c>
      <c r="B31" s="12" t="s">
        <v>215</v>
      </c>
      <c r="C31" s="12" t="s">
        <v>128</v>
      </c>
      <c r="D31" s="12" t="s">
        <v>127</v>
      </c>
      <c r="E31" s="12" t="s">
        <v>150</v>
      </c>
      <c r="F31" s="12">
        <v>0</v>
      </c>
      <c r="G31" s="12"/>
      <c r="H31" s="12"/>
      <c r="I31" s="12" t="s">
        <v>229</v>
      </c>
      <c r="J31" s="12" t="s">
        <v>216</v>
      </c>
      <c r="K31" s="12" t="s">
        <v>227</v>
      </c>
    </row>
    <row r="32" spans="1:11" ht="15" customHeight="1" x14ac:dyDescent="0.2">
      <c r="A32" s="12" t="s">
        <v>214</v>
      </c>
      <c r="B32" s="12" t="s">
        <v>230</v>
      </c>
      <c r="C32" s="12" t="s">
        <v>53</v>
      </c>
      <c r="D32" s="12" t="s">
        <v>12</v>
      </c>
      <c r="E32" s="12" t="s">
        <v>165</v>
      </c>
      <c r="F32" s="12">
        <v>2</v>
      </c>
      <c r="G32" s="12" t="s">
        <v>54</v>
      </c>
      <c r="H32" s="12" t="s">
        <v>55</v>
      </c>
      <c r="I32" s="12" t="s">
        <v>53</v>
      </c>
      <c r="J32" s="12" t="s">
        <v>216</v>
      </c>
      <c r="K32" s="12"/>
    </row>
    <row r="33" spans="1:11" ht="15" customHeight="1" x14ac:dyDescent="0.2">
      <c r="A33" s="12" t="s">
        <v>214</v>
      </c>
      <c r="B33" s="12" t="s">
        <v>230</v>
      </c>
      <c r="C33" s="12" t="s">
        <v>29</v>
      </c>
      <c r="D33" s="12" t="s">
        <v>11</v>
      </c>
      <c r="E33" s="12" t="s">
        <v>159</v>
      </c>
      <c r="F33" s="12">
        <v>3</v>
      </c>
      <c r="G33" s="12" t="s">
        <v>30</v>
      </c>
      <c r="H33" s="12" t="s">
        <v>31</v>
      </c>
      <c r="I33" s="12" t="s">
        <v>29</v>
      </c>
      <c r="J33" s="12" t="s">
        <v>216</v>
      </c>
      <c r="K33" s="12"/>
    </row>
    <row r="34" spans="1:11" ht="15" customHeight="1" x14ac:dyDescent="0.2">
      <c r="A34" s="12" t="s">
        <v>214</v>
      </c>
      <c r="B34" s="12" t="s">
        <v>230</v>
      </c>
      <c r="C34" s="12" t="s">
        <v>34</v>
      </c>
      <c r="D34" s="12" t="s">
        <v>11</v>
      </c>
      <c r="E34" s="12" t="s">
        <v>158</v>
      </c>
      <c r="F34" s="12">
        <v>3</v>
      </c>
      <c r="G34" s="12" t="s">
        <v>35</v>
      </c>
      <c r="H34" s="12" t="s">
        <v>36</v>
      </c>
      <c r="I34" s="12" t="s">
        <v>34</v>
      </c>
      <c r="J34" s="12" t="s">
        <v>216</v>
      </c>
      <c r="K34" s="12"/>
    </row>
    <row r="35" spans="1:11" ht="15" customHeight="1" x14ac:dyDescent="0.2">
      <c r="A35" s="12" t="s">
        <v>214</v>
      </c>
      <c r="B35" s="12" t="s">
        <v>230</v>
      </c>
      <c r="C35" s="12" t="s">
        <v>59</v>
      </c>
      <c r="D35" s="12" t="s">
        <v>12</v>
      </c>
      <c r="E35" s="12" t="s">
        <v>156</v>
      </c>
      <c r="F35" s="12">
        <v>2</v>
      </c>
      <c r="G35" s="12" t="s">
        <v>54</v>
      </c>
      <c r="H35" s="12" t="s">
        <v>60</v>
      </c>
      <c r="I35" s="12" t="s">
        <v>59</v>
      </c>
      <c r="J35" s="12" t="s">
        <v>216</v>
      </c>
      <c r="K35" s="12"/>
    </row>
    <row r="36" spans="1:11" ht="15" customHeight="1" x14ac:dyDescent="0.2">
      <c r="A36" s="12" t="s">
        <v>214</v>
      </c>
      <c r="B36" s="12" t="s">
        <v>230</v>
      </c>
      <c r="C36" s="12" t="s">
        <v>38</v>
      </c>
      <c r="D36" s="12" t="s">
        <v>11</v>
      </c>
      <c r="E36" s="12" t="s">
        <v>160</v>
      </c>
      <c r="F36" s="12">
        <v>2</v>
      </c>
      <c r="G36" s="12" t="s">
        <v>35</v>
      </c>
      <c r="H36" s="12" t="s">
        <v>39</v>
      </c>
      <c r="I36" s="12" t="s">
        <v>38</v>
      </c>
      <c r="J36" s="12" t="s">
        <v>216</v>
      </c>
      <c r="K36" s="12"/>
    </row>
    <row r="37" spans="1:11" ht="15" customHeight="1" x14ac:dyDescent="0.2">
      <c r="A37" s="12" t="s">
        <v>214</v>
      </c>
      <c r="B37" s="12" t="s">
        <v>230</v>
      </c>
      <c r="C37" s="12" t="s">
        <v>61</v>
      </c>
      <c r="D37" s="12" t="s">
        <v>12</v>
      </c>
      <c r="E37" s="12" t="s">
        <v>149</v>
      </c>
      <c r="F37" s="12">
        <v>2</v>
      </c>
      <c r="G37" s="12" t="s">
        <v>54</v>
      </c>
      <c r="H37" s="12" t="s">
        <v>62</v>
      </c>
      <c r="I37" s="12" t="s">
        <v>61</v>
      </c>
      <c r="J37" s="12" t="s">
        <v>216</v>
      </c>
      <c r="K37" s="12"/>
    </row>
    <row r="38" spans="1:11" ht="15" customHeight="1" x14ac:dyDescent="0.2">
      <c r="A38" s="12" t="s">
        <v>214</v>
      </c>
      <c r="B38" s="12" t="s">
        <v>230</v>
      </c>
      <c r="C38" s="12" t="s">
        <v>65</v>
      </c>
      <c r="D38" s="12" t="s">
        <v>12</v>
      </c>
      <c r="E38" s="12" t="s">
        <v>169</v>
      </c>
      <c r="F38" s="12">
        <v>2</v>
      </c>
      <c r="G38" s="12" t="s">
        <v>54</v>
      </c>
      <c r="H38" s="12" t="s">
        <v>66</v>
      </c>
      <c r="I38" s="12" t="s">
        <v>65</v>
      </c>
      <c r="J38" s="12" t="s">
        <v>216</v>
      </c>
      <c r="K38" s="12"/>
    </row>
    <row r="39" spans="1:11" ht="15" customHeight="1" x14ac:dyDescent="0.2">
      <c r="A39" s="12" t="s">
        <v>214</v>
      </c>
      <c r="B39" s="12" t="s">
        <v>230</v>
      </c>
      <c r="C39" s="12" t="s">
        <v>110</v>
      </c>
      <c r="D39" s="12" t="s">
        <v>13</v>
      </c>
      <c r="E39" s="12" t="s">
        <v>135</v>
      </c>
      <c r="F39" s="12">
        <v>3</v>
      </c>
      <c r="G39" s="12"/>
      <c r="H39" s="12"/>
      <c r="I39" s="12" t="s">
        <v>110</v>
      </c>
      <c r="J39" s="12" t="s">
        <v>216</v>
      </c>
      <c r="K39" s="12"/>
    </row>
    <row r="40" spans="1:11" ht="15" customHeight="1" x14ac:dyDescent="0.2">
      <c r="A40" s="12" t="s">
        <v>214</v>
      </c>
      <c r="B40" s="12" t="s">
        <v>230</v>
      </c>
      <c r="C40" s="12" t="s">
        <v>124</v>
      </c>
      <c r="D40" s="12" t="s">
        <v>16</v>
      </c>
      <c r="E40" s="12" t="s">
        <v>168</v>
      </c>
      <c r="F40" s="12">
        <v>0</v>
      </c>
      <c r="G40" s="12"/>
      <c r="H40" s="12"/>
      <c r="I40" s="12" t="s">
        <v>231</v>
      </c>
      <c r="J40" s="12" t="s">
        <v>216</v>
      </c>
      <c r="K40" s="12"/>
    </row>
    <row r="41" spans="1:11" ht="15" customHeight="1" x14ac:dyDescent="0.2">
      <c r="A41" s="12" t="s">
        <v>214</v>
      </c>
      <c r="B41" s="12" t="s">
        <v>230</v>
      </c>
      <c r="C41" s="12" t="s">
        <v>115</v>
      </c>
      <c r="D41" s="12" t="s">
        <v>14</v>
      </c>
      <c r="E41" s="12" t="s">
        <v>140</v>
      </c>
      <c r="F41" s="12">
        <v>2</v>
      </c>
      <c r="G41" s="12"/>
      <c r="H41" s="12"/>
      <c r="I41" s="12" t="s">
        <v>115</v>
      </c>
      <c r="J41" s="12" t="s">
        <v>216</v>
      </c>
      <c r="K41" s="12"/>
    </row>
    <row r="42" spans="1:11" ht="15" customHeight="1" x14ac:dyDescent="0.2">
      <c r="A42" s="12" t="s">
        <v>214</v>
      </c>
      <c r="B42" s="12" t="s">
        <v>230</v>
      </c>
      <c r="C42" s="12" t="s">
        <v>115</v>
      </c>
      <c r="D42" s="12" t="s">
        <v>14</v>
      </c>
      <c r="E42" s="12" t="s">
        <v>153</v>
      </c>
      <c r="F42" s="12">
        <v>0</v>
      </c>
      <c r="G42" s="12"/>
      <c r="H42" s="12"/>
      <c r="I42" s="12" t="s">
        <v>115</v>
      </c>
      <c r="J42" s="12" t="s">
        <v>216</v>
      </c>
      <c r="K42" s="12"/>
    </row>
    <row r="43" spans="1:11" ht="15" customHeight="1" x14ac:dyDescent="0.2">
      <c r="A43" s="12" t="s">
        <v>214</v>
      </c>
      <c r="B43" s="12" t="s">
        <v>230</v>
      </c>
      <c r="C43" s="12" t="s">
        <v>15</v>
      </c>
      <c r="D43" s="12" t="s">
        <v>15</v>
      </c>
      <c r="E43" s="12" t="s">
        <v>163</v>
      </c>
      <c r="F43" s="12">
        <v>2</v>
      </c>
      <c r="G43" s="12"/>
      <c r="H43" s="12"/>
      <c r="I43" s="12" t="s">
        <v>15</v>
      </c>
      <c r="J43" s="12" t="s">
        <v>216</v>
      </c>
      <c r="K43" s="12"/>
    </row>
    <row r="44" spans="1:11" ht="15" customHeight="1" x14ac:dyDescent="0.2">
      <c r="A44" s="12" t="s">
        <v>214</v>
      </c>
      <c r="B44" s="12" t="s">
        <v>230</v>
      </c>
      <c r="C44" s="12" t="s">
        <v>112</v>
      </c>
      <c r="D44" s="12" t="s">
        <v>13</v>
      </c>
      <c r="E44" s="12" t="s">
        <v>151</v>
      </c>
      <c r="F44" s="12">
        <v>2</v>
      </c>
      <c r="G44" s="12"/>
      <c r="H44" s="12"/>
      <c r="I44" s="12" t="s">
        <v>112</v>
      </c>
      <c r="J44" s="12" t="s">
        <v>216</v>
      </c>
      <c r="K44" s="12"/>
    </row>
    <row r="45" spans="1:11" ht="15" customHeight="1" x14ac:dyDescent="0.2">
      <c r="A45" s="12" t="s">
        <v>214</v>
      </c>
      <c r="B45" s="12" t="s">
        <v>230</v>
      </c>
      <c r="C45" s="12" t="s">
        <v>113</v>
      </c>
      <c r="D45" s="12" t="s">
        <v>13</v>
      </c>
      <c r="E45" s="12" t="s">
        <v>139</v>
      </c>
      <c r="F45" s="12">
        <v>2</v>
      </c>
      <c r="G45" s="12"/>
      <c r="H45" s="12"/>
      <c r="I45" s="12" t="s">
        <v>113</v>
      </c>
      <c r="J45" s="12" t="s">
        <v>216</v>
      </c>
      <c r="K45" s="12"/>
    </row>
    <row r="46" spans="1:11" ht="15" customHeight="1" x14ac:dyDescent="0.2">
      <c r="A46" s="12" t="s">
        <v>214</v>
      </c>
      <c r="B46" s="12" t="s">
        <v>230</v>
      </c>
      <c r="C46" s="12" t="s">
        <v>113</v>
      </c>
      <c r="D46" s="12" t="s">
        <v>13</v>
      </c>
      <c r="E46" s="12" t="s">
        <v>153</v>
      </c>
      <c r="F46" s="12">
        <v>2</v>
      </c>
      <c r="G46" s="12"/>
      <c r="H46" s="12"/>
      <c r="I46" s="12" t="s">
        <v>113</v>
      </c>
      <c r="J46" s="12" t="s">
        <v>216</v>
      </c>
      <c r="K46" s="12"/>
    </row>
    <row r="47" spans="1:11" ht="15" customHeight="1" x14ac:dyDescent="0.2">
      <c r="A47" s="12" t="s">
        <v>214</v>
      </c>
      <c r="B47" s="12" t="s">
        <v>232</v>
      </c>
      <c r="C47" s="12" t="s">
        <v>29</v>
      </c>
      <c r="D47" s="12" t="s">
        <v>11</v>
      </c>
      <c r="E47" s="12" t="s">
        <v>158</v>
      </c>
      <c r="F47" s="12">
        <v>3</v>
      </c>
      <c r="G47" s="12" t="s">
        <v>30</v>
      </c>
      <c r="H47" s="12" t="s">
        <v>31</v>
      </c>
      <c r="I47" s="12" t="s">
        <v>29</v>
      </c>
      <c r="J47" s="12" t="s">
        <v>216</v>
      </c>
      <c r="K47" s="12"/>
    </row>
    <row r="48" spans="1:11" ht="15" customHeight="1" x14ac:dyDescent="0.2">
      <c r="A48" s="12" t="s">
        <v>214</v>
      </c>
      <c r="B48" s="12" t="s">
        <v>232</v>
      </c>
      <c r="C48" s="12" t="s">
        <v>15</v>
      </c>
      <c r="D48" s="12" t="s">
        <v>15</v>
      </c>
      <c r="E48" s="12" t="s">
        <v>161</v>
      </c>
      <c r="F48" s="12">
        <v>2</v>
      </c>
      <c r="G48" s="12"/>
      <c r="H48" s="12"/>
      <c r="I48" s="12" t="s">
        <v>15</v>
      </c>
      <c r="J48" s="12" t="s">
        <v>216</v>
      </c>
      <c r="K48" s="12"/>
    </row>
    <row r="49" spans="1:11" ht="15" customHeight="1" x14ac:dyDescent="0.2">
      <c r="A49" s="12" t="s">
        <v>214</v>
      </c>
      <c r="B49" s="12" t="s">
        <v>232</v>
      </c>
      <c r="C49" s="12" t="s">
        <v>15</v>
      </c>
      <c r="D49" s="12" t="s">
        <v>15</v>
      </c>
      <c r="E49" s="12" t="s">
        <v>151</v>
      </c>
      <c r="F49" s="12">
        <v>0</v>
      </c>
      <c r="G49" s="12"/>
      <c r="H49" s="12"/>
      <c r="I49" s="12" t="s">
        <v>15</v>
      </c>
      <c r="J49" s="12" t="s">
        <v>216</v>
      </c>
      <c r="K49" s="12"/>
    </row>
    <row r="50" spans="1:11" ht="15" customHeight="1" x14ac:dyDescent="0.2">
      <c r="A50" s="12" t="s">
        <v>7</v>
      </c>
      <c r="B50" s="12" t="s">
        <v>215</v>
      </c>
      <c r="C50" s="12" t="s">
        <v>53</v>
      </c>
      <c r="D50" s="12" t="s">
        <v>12</v>
      </c>
      <c r="E50" s="12" t="s">
        <v>147</v>
      </c>
      <c r="F50" s="12">
        <v>2</v>
      </c>
      <c r="G50" s="12" t="s">
        <v>54</v>
      </c>
      <c r="H50" s="12" t="s">
        <v>55</v>
      </c>
      <c r="I50" s="12" t="s">
        <v>53</v>
      </c>
      <c r="J50" s="12" t="s">
        <v>233</v>
      </c>
      <c r="K50" s="12"/>
    </row>
    <row r="51" spans="1:11" ht="15" customHeight="1" x14ac:dyDescent="0.2">
      <c r="A51" s="12" t="s">
        <v>7</v>
      </c>
      <c r="B51" s="12" t="s">
        <v>215</v>
      </c>
      <c r="C51" s="12" t="s">
        <v>57</v>
      </c>
      <c r="D51" s="12" t="s">
        <v>12</v>
      </c>
      <c r="E51" s="12" t="s">
        <v>169</v>
      </c>
      <c r="F51" s="12">
        <v>2</v>
      </c>
      <c r="G51" s="12" t="s">
        <v>54</v>
      </c>
      <c r="H51" s="12" t="s">
        <v>58</v>
      </c>
      <c r="I51" s="12" t="s">
        <v>57</v>
      </c>
      <c r="J51" s="12" t="s">
        <v>233</v>
      </c>
      <c r="K51" s="12"/>
    </row>
    <row r="52" spans="1:11" ht="15" customHeight="1" x14ac:dyDescent="0.2">
      <c r="A52" s="12" t="s">
        <v>7</v>
      </c>
      <c r="B52" s="12" t="s">
        <v>215</v>
      </c>
      <c r="C52" s="12" t="s">
        <v>38</v>
      </c>
      <c r="D52" s="12" t="s">
        <v>11</v>
      </c>
      <c r="E52" s="12" t="s">
        <v>146</v>
      </c>
      <c r="F52" s="12">
        <v>3</v>
      </c>
      <c r="G52" s="12" t="s">
        <v>35</v>
      </c>
      <c r="H52" s="12" t="s">
        <v>39</v>
      </c>
      <c r="I52" s="12" t="s">
        <v>217</v>
      </c>
      <c r="J52" s="12" t="s">
        <v>233</v>
      </c>
      <c r="K52" s="12" t="s">
        <v>218</v>
      </c>
    </row>
    <row r="53" spans="1:11" ht="15" customHeight="1" x14ac:dyDescent="0.2">
      <c r="A53" s="12" t="s">
        <v>7</v>
      </c>
      <c r="B53" s="12" t="s">
        <v>215</v>
      </c>
      <c r="C53" s="12" t="s">
        <v>63</v>
      </c>
      <c r="D53" s="12" t="s">
        <v>12</v>
      </c>
      <c r="E53" s="12" t="s">
        <v>165</v>
      </c>
      <c r="F53" s="12">
        <v>3</v>
      </c>
      <c r="G53" s="12" t="s">
        <v>54</v>
      </c>
      <c r="H53" s="12" t="s">
        <v>64</v>
      </c>
      <c r="I53" s="12" t="s">
        <v>63</v>
      </c>
      <c r="J53" s="12" t="s">
        <v>233</v>
      </c>
      <c r="K53" s="12"/>
    </row>
    <row r="54" spans="1:11" ht="15" customHeight="1" x14ac:dyDescent="0.2">
      <c r="A54" s="12" t="s">
        <v>7</v>
      </c>
      <c r="B54" s="12" t="s">
        <v>215</v>
      </c>
      <c r="C54" s="12" t="s">
        <v>65</v>
      </c>
      <c r="D54" s="12" t="s">
        <v>12</v>
      </c>
      <c r="E54" s="12" t="s">
        <v>135</v>
      </c>
      <c r="F54" s="12">
        <v>3</v>
      </c>
      <c r="G54" s="12" t="s">
        <v>54</v>
      </c>
      <c r="H54" s="12" t="s">
        <v>66</v>
      </c>
      <c r="I54" s="12" t="s">
        <v>65</v>
      </c>
      <c r="J54" s="12" t="s">
        <v>233</v>
      </c>
      <c r="K54" s="12"/>
    </row>
    <row r="55" spans="1:11" ht="15" customHeight="1" x14ac:dyDescent="0.2">
      <c r="A55" s="12" t="s">
        <v>7</v>
      </c>
      <c r="B55" s="12" t="s">
        <v>215</v>
      </c>
      <c r="C55" s="12" t="s">
        <v>67</v>
      </c>
      <c r="D55" s="12" t="s">
        <v>12</v>
      </c>
      <c r="E55" s="12" t="s">
        <v>146</v>
      </c>
      <c r="F55" s="12">
        <v>3</v>
      </c>
      <c r="G55" s="12" t="s">
        <v>30</v>
      </c>
      <c r="H55" s="12" t="s">
        <v>68</v>
      </c>
      <c r="I55" s="12" t="s">
        <v>217</v>
      </c>
      <c r="J55" s="12" t="s">
        <v>233</v>
      </c>
      <c r="K55" s="12" t="s">
        <v>218</v>
      </c>
    </row>
    <row r="56" spans="1:11" ht="15" customHeight="1" x14ac:dyDescent="0.2">
      <c r="A56" s="12" t="s">
        <v>7</v>
      </c>
      <c r="B56" s="12" t="s">
        <v>215</v>
      </c>
      <c r="C56" s="12" t="s">
        <v>73</v>
      </c>
      <c r="D56" s="12" t="s">
        <v>12</v>
      </c>
      <c r="E56" s="12" t="s">
        <v>143</v>
      </c>
      <c r="F56" s="12">
        <v>3</v>
      </c>
      <c r="G56" s="12" t="s">
        <v>30</v>
      </c>
      <c r="H56" s="12" t="s">
        <v>74</v>
      </c>
      <c r="I56" s="12" t="s">
        <v>73</v>
      </c>
      <c r="J56" s="12" t="s">
        <v>233</v>
      </c>
      <c r="K56" s="12"/>
    </row>
    <row r="57" spans="1:11" ht="15" customHeight="1" x14ac:dyDescent="0.2">
      <c r="A57" s="12" t="s">
        <v>7</v>
      </c>
      <c r="B57" s="12" t="s">
        <v>215</v>
      </c>
      <c r="C57" s="12" t="s">
        <v>76</v>
      </c>
      <c r="D57" s="12" t="s">
        <v>12</v>
      </c>
      <c r="E57" s="12" t="s">
        <v>142</v>
      </c>
      <c r="F57" s="12">
        <v>3</v>
      </c>
      <c r="G57" s="12" t="s">
        <v>30</v>
      </c>
      <c r="H57" s="12" t="s">
        <v>77</v>
      </c>
      <c r="I57" s="12" t="s">
        <v>221</v>
      </c>
      <c r="J57" s="12" t="s">
        <v>233</v>
      </c>
      <c r="K57" s="12" t="s">
        <v>218</v>
      </c>
    </row>
    <row r="58" spans="1:11" ht="15" customHeight="1" x14ac:dyDescent="0.2">
      <c r="A58" s="12" t="s">
        <v>7</v>
      </c>
      <c r="B58" s="12" t="s">
        <v>215</v>
      </c>
      <c r="C58" s="12" t="s">
        <v>79</v>
      </c>
      <c r="D58" s="12" t="s">
        <v>12</v>
      </c>
      <c r="E58" s="12" t="s">
        <v>142</v>
      </c>
      <c r="F58" s="12">
        <v>3</v>
      </c>
      <c r="G58" s="12" t="s">
        <v>30</v>
      </c>
      <c r="H58" s="12" t="s">
        <v>80</v>
      </c>
      <c r="I58" s="12" t="s">
        <v>221</v>
      </c>
      <c r="J58" s="12" t="s">
        <v>233</v>
      </c>
      <c r="K58" s="12" t="s">
        <v>218</v>
      </c>
    </row>
    <row r="59" spans="1:11" ht="15" customHeight="1" x14ac:dyDescent="0.2">
      <c r="A59" s="12" t="s">
        <v>7</v>
      </c>
      <c r="B59" s="12" t="s">
        <v>215</v>
      </c>
      <c r="C59" s="12" t="s">
        <v>84</v>
      </c>
      <c r="D59" s="12" t="s">
        <v>12</v>
      </c>
      <c r="E59" s="12" t="s">
        <v>155</v>
      </c>
      <c r="F59" s="12">
        <v>3</v>
      </c>
      <c r="G59" s="12" t="s">
        <v>30</v>
      </c>
      <c r="H59" s="12" t="s">
        <v>85</v>
      </c>
      <c r="I59" s="12" t="s">
        <v>84</v>
      </c>
      <c r="J59" s="12" t="s">
        <v>233</v>
      </c>
      <c r="K59" s="12"/>
    </row>
    <row r="60" spans="1:11" ht="15" customHeight="1" x14ac:dyDescent="0.2">
      <c r="A60" s="12" t="s">
        <v>7</v>
      </c>
      <c r="B60" s="12" t="s">
        <v>215</v>
      </c>
      <c r="C60" s="12" t="s">
        <v>87</v>
      </c>
      <c r="D60" s="12" t="s">
        <v>12</v>
      </c>
      <c r="E60" s="12" t="s">
        <v>166</v>
      </c>
      <c r="F60" s="12">
        <v>3</v>
      </c>
      <c r="G60" s="12" t="s">
        <v>30</v>
      </c>
      <c r="H60" s="12" t="s">
        <v>88</v>
      </c>
      <c r="I60" s="12" t="s">
        <v>87</v>
      </c>
      <c r="J60" s="12" t="s">
        <v>233</v>
      </c>
      <c r="K60" s="12"/>
    </row>
    <row r="61" spans="1:11" ht="15" customHeight="1" x14ac:dyDescent="0.2">
      <c r="A61" s="12" t="s">
        <v>7</v>
      </c>
      <c r="B61" s="12" t="s">
        <v>215</v>
      </c>
      <c r="C61" s="12" t="s">
        <v>91</v>
      </c>
      <c r="D61" s="12" t="s">
        <v>12</v>
      </c>
      <c r="E61" s="12" t="s">
        <v>136</v>
      </c>
      <c r="F61" s="12">
        <v>3</v>
      </c>
      <c r="G61" s="12" t="s">
        <v>30</v>
      </c>
      <c r="H61" s="12" t="s">
        <v>92</v>
      </c>
      <c r="I61" s="12" t="s">
        <v>222</v>
      </c>
      <c r="J61" s="12" t="s">
        <v>233</v>
      </c>
      <c r="K61" s="12" t="s">
        <v>218</v>
      </c>
    </row>
    <row r="62" spans="1:11" ht="15" customHeight="1" x14ac:dyDescent="0.2">
      <c r="A62" s="12" t="s">
        <v>7</v>
      </c>
      <c r="B62" s="12" t="s">
        <v>215</v>
      </c>
      <c r="C62" s="12" t="s">
        <v>93</v>
      </c>
      <c r="D62" s="12" t="s">
        <v>12</v>
      </c>
      <c r="E62" s="12" t="s">
        <v>136</v>
      </c>
      <c r="F62" s="12">
        <v>3</v>
      </c>
      <c r="G62" s="12" t="s">
        <v>30</v>
      </c>
      <c r="H62" s="12" t="s">
        <v>94</v>
      </c>
      <c r="I62" s="12" t="s">
        <v>222</v>
      </c>
      <c r="J62" s="12" t="s">
        <v>233</v>
      </c>
      <c r="K62" s="12" t="s">
        <v>218</v>
      </c>
    </row>
    <row r="63" spans="1:11" ht="15" customHeight="1" x14ac:dyDescent="0.2">
      <c r="A63" s="12" t="s">
        <v>7</v>
      </c>
      <c r="B63" s="12" t="s">
        <v>215</v>
      </c>
      <c r="C63" s="12" t="s">
        <v>95</v>
      </c>
      <c r="D63" s="12" t="s">
        <v>12</v>
      </c>
      <c r="E63" s="12" t="s">
        <v>141</v>
      </c>
      <c r="F63" s="12">
        <v>3</v>
      </c>
      <c r="G63" s="12" t="s">
        <v>30</v>
      </c>
      <c r="H63" s="12" t="s">
        <v>96</v>
      </c>
      <c r="I63" s="12" t="s">
        <v>223</v>
      </c>
      <c r="J63" s="12" t="s">
        <v>233</v>
      </c>
      <c r="K63" s="12" t="s">
        <v>218</v>
      </c>
    </row>
    <row r="64" spans="1:11" ht="15" customHeight="1" x14ac:dyDescent="0.2">
      <c r="A64" s="12" t="s">
        <v>7</v>
      </c>
      <c r="B64" s="12" t="s">
        <v>215</v>
      </c>
      <c r="C64" s="12" t="s">
        <v>97</v>
      </c>
      <c r="D64" s="12" t="s">
        <v>12</v>
      </c>
      <c r="E64" s="12" t="s">
        <v>141</v>
      </c>
      <c r="F64" s="12">
        <v>3</v>
      </c>
      <c r="G64" s="12" t="s">
        <v>30</v>
      </c>
      <c r="H64" s="12" t="s">
        <v>98</v>
      </c>
      <c r="I64" s="12" t="s">
        <v>223</v>
      </c>
      <c r="J64" s="12" t="s">
        <v>233</v>
      </c>
      <c r="K64" s="12" t="s">
        <v>218</v>
      </c>
    </row>
    <row r="65" spans="1:11" ht="15" customHeight="1" x14ac:dyDescent="0.2">
      <c r="A65" s="12" t="s">
        <v>7</v>
      </c>
      <c r="B65" s="12" t="s">
        <v>215</v>
      </c>
      <c r="C65" s="12" t="s">
        <v>118</v>
      </c>
      <c r="D65" s="12" t="s">
        <v>17</v>
      </c>
      <c r="E65" s="12" t="s">
        <v>139</v>
      </c>
      <c r="F65" s="12">
        <v>2</v>
      </c>
      <c r="G65" s="12"/>
      <c r="H65" s="12"/>
      <c r="I65" s="12" t="s">
        <v>224</v>
      </c>
      <c r="J65" s="12" t="s">
        <v>233</v>
      </c>
      <c r="K65" s="12" t="s">
        <v>218</v>
      </c>
    </row>
    <row r="66" spans="1:11" ht="15" customHeight="1" x14ac:dyDescent="0.2">
      <c r="A66" s="12" t="s">
        <v>7</v>
      </c>
      <c r="B66" s="12" t="s">
        <v>215</v>
      </c>
      <c r="C66" s="12" t="s">
        <v>50</v>
      </c>
      <c r="D66" s="12" t="s">
        <v>11</v>
      </c>
      <c r="E66" s="12" t="s">
        <v>157</v>
      </c>
      <c r="F66" s="12">
        <v>3</v>
      </c>
      <c r="G66" s="12"/>
      <c r="H66" s="12"/>
      <c r="I66" s="12" t="s">
        <v>225</v>
      </c>
      <c r="J66" s="12" t="s">
        <v>233</v>
      </c>
      <c r="K66" s="12"/>
    </row>
    <row r="67" spans="1:11" ht="15" customHeight="1" x14ac:dyDescent="0.2">
      <c r="A67" s="12" t="s">
        <v>7</v>
      </c>
      <c r="B67" s="12" t="s">
        <v>215</v>
      </c>
      <c r="C67" s="12" t="s">
        <v>50</v>
      </c>
      <c r="D67" s="12" t="s">
        <v>11</v>
      </c>
      <c r="E67" s="12" t="s">
        <v>159</v>
      </c>
      <c r="F67" s="12">
        <v>3</v>
      </c>
      <c r="G67" s="12"/>
      <c r="H67" s="12"/>
      <c r="I67" s="12" t="s">
        <v>225</v>
      </c>
      <c r="J67" s="12" t="s">
        <v>233</v>
      </c>
      <c r="K67" s="12"/>
    </row>
    <row r="68" spans="1:11" ht="15" customHeight="1" x14ac:dyDescent="0.2">
      <c r="A68" s="12" t="s">
        <v>7</v>
      </c>
      <c r="B68" s="12" t="s">
        <v>215</v>
      </c>
      <c r="C68" s="12" t="s">
        <v>122</v>
      </c>
      <c r="D68" s="12" t="s">
        <v>16</v>
      </c>
      <c r="E68" s="12" t="s">
        <v>167</v>
      </c>
      <c r="F68" s="12">
        <v>1</v>
      </c>
      <c r="G68" s="12"/>
      <c r="H68" s="12"/>
      <c r="I68" s="12" t="s">
        <v>122</v>
      </c>
      <c r="J68" s="12" t="s">
        <v>233</v>
      </c>
      <c r="K68" s="12"/>
    </row>
    <row r="69" spans="1:11" ht="15" customHeight="1" x14ac:dyDescent="0.2">
      <c r="A69" s="12" t="s">
        <v>7</v>
      </c>
      <c r="B69" s="12" t="s">
        <v>215</v>
      </c>
      <c r="C69" s="12" t="s">
        <v>115</v>
      </c>
      <c r="D69" s="12" t="s">
        <v>14</v>
      </c>
      <c r="E69" s="12" t="s">
        <v>145</v>
      </c>
      <c r="F69" s="12">
        <v>2</v>
      </c>
      <c r="G69" s="12"/>
      <c r="H69" s="12"/>
      <c r="I69" s="12" t="s">
        <v>115</v>
      </c>
      <c r="J69" s="12" t="s">
        <v>233</v>
      </c>
      <c r="K69" s="12"/>
    </row>
    <row r="70" spans="1:11" ht="15" customHeight="1" x14ac:dyDescent="0.2">
      <c r="A70" s="12" t="s">
        <v>7</v>
      </c>
      <c r="B70" s="12" t="s">
        <v>215</v>
      </c>
      <c r="C70" s="12" t="s">
        <v>115</v>
      </c>
      <c r="D70" s="12" t="s">
        <v>14</v>
      </c>
      <c r="E70" s="12" t="s">
        <v>153</v>
      </c>
      <c r="F70" s="12">
        <v>1</v>
      </c>
      <c r="G70" s="12"/>
      <c r="H70" s="12"/>
      <c r="I70" s="12" t="s">
        <v>115</v>
      </c>
      <c r="J70" s="12" t="s">
        <v>233</v>
      </c>
      <c r="K70" s="12"/>
    </row>
    <row r="71" spans="1:11" ht="15" customHeight="1" x14ac:dyDescent="0.2">
      <c r="A71" s="12" t="s">
        <v>7</v>
      </c>
      <c r="B71" s="12" t="s">
        <v>215</v>
      </c>
      <c r="C71" s="12" t="s">
        <v>115</v>
      </c>
      <c r="D71" s="12" t="s">
        <v>14</v>
      </c>
      <c r="E71" s="12" t="s">
        <v>140</v>
      </c>
      <c r="F71" s="12">
        <v>0</v>
      </c>
      <c r="G71" s="12"/>
      <c r="H71" s="12"/>
      <c r="I71" s="12" t="s">
        <v>115</v>
      </c>
      <c r="J71" s="12" t="s">
        <v>233</v>
      </c>
      <c r="K71" s="12"/>
    </row>
    <row r="72" spans="1:11" ht="15" customHeight="1" x14ac:dyDescent="0.2">
      <c r="A72" s="12" t="s">
        <v>7</v>
      </c>
      <c r="B72" s="12" t="s">
        <v>215</v>
      </c>
      <c r="C72" s="12" t="s">
        <v>15</v>
      </c>
      <c r="D72" s="12" t="s">
        <v>15</v>
      </c>
      <c r="E72" s="12" t="s">
        <v>163</v>
      </c>
      <c r="F72" s="12">
        <v>2</v>
      </c>
      <c r="G72" s="12"/>
      <c r="H72" s="12"/>
      <c r="I72" s="12" t="s">
        <v>15</v>
      </c>
      <c r="J72" s="12" t="s">
        <v>233</v>
      </c>
      <c r="K72" s="12"/>
    </row>
    <row r="73" spans="1:11" ht="15" customHeight="1" x14ac:dyDescent="0.2">
      <c r="A73" s="12" t="s">
        <v>7</v>
      </c>
      <c r="B73" s="12" t="s">
        <v>215</v>
      </c>
      <c r="C73" s="12" t="s">
        <v>128</v>
      </c>
      <c r="D73" s="12" t="s">
        <v>127</v>
      </c>
      <c r="E73" s="12" t="s">
        <v>147</v>
      </c>
      <c r="F73" s="12">
        <v>2</v>
      </c>
      <c r="G73" s="12"/>
      <c r="H73" s="12"/>
      <c r="I73" s="12" t="s">
        <v>229</v>
      </c>
      <c r="J73" s="12" t="s">
        <v>233</v>
      </c>
      <c r="K73" s="12" t="s">
        <v>227</v>
      </c>
    </row>
    <row r="74" spans="1:11" ht="15" customHeight="1" x14ac:dyDescent="0.2">
      <c r="A74" s="12" t="s">
        <v>7</v>
      </c>
      <c r="B74" s="12" t="s">
        <v>215</v>
      </c>
      <c r="C74" s="12" t="s">
        <v>128</v>
      </c>
      <c r="D74" s="12" t="s">
        <v>127</v>
      </c>
      <c r="E74" s="12" t="s">
        <v>137</v>
      </c>
      <c r="F74" s="12">
        <v>2</v>
      </c>
      <c r="G74" s="12"/>
      <c r="H74" s="12"/>
      <c r="I74" s="12" t="s">
        <v>229</v>
      </c>
      <c r="J74" s="12" t="s">
        <v>233</v>
      </c>
      <c r="K74" s="12" t="s">
        <v>227</v>
      </c>
    </row>
    <row r="75" spans="1:11" ht="15" customHeight="1" x14ac:dyDescent="0.2">
      <c r="A75" s="12" t="s">
        <v>7</v>
      </c>
      <c r="B75" s="12" t="s">
        <v>215</v>
      </c>
      <c r="C75" s="12" t="s">
        <v>128</v>
      </c>
      <c r="D75" s="12" t="s">
        <v>127</v>
      </c>
      <c r="E75" s="12" t="s">
        <v>144</v>
      </c>
      <c r="F75" s="12">
        <v>3</v>
      </c>
      <c r="G75" s="12"/>
      <c r="H75" s="12"/>
      <c r="I75" s="12" t="s">
        <v>229</v>
      </c>
      <c r="J75" s="12" t="s">
        <v>233</v>
      </c>
      <c r="K75" s="12" t="s">
        <v>227</v>
      </c>
    </row>
    <row r="76" spans="1:11" ht="15" customHeight="1" x14ac:dyDescent="0.2">
      <c r="A76" s="12" t="s">
        <v>7</v>
      </c>
      <c r="B76" s="12" t="s">
        <v>215</v>
      </c>
      <c r="C76" s="12" t="s">
        <v>128</v>
      </c>
      <c r="D76" s="12" t="s">
        <v>127</v>
      </c>
      <c r="E76" s="12" t="s">
        <v>156</v>
      </c>
      <c r="F76" s="12">
        <v>3</v>
      </c>
      <c r="G76" s="12"/>
      <c r="H76" s="12"/>
      <c r="I76" s="12" t="s">
        <v>229</v>
      </c>
      <c r="J76" s="12" t="s">
        <v>233</v>
      </c>
      <c r="K76" s="12" t="s">
        <v>227</v>
      </c>
    </row>
    <row r="77" spans="1:11" ht="15" customHeight="1" x14ac:dyDescent="0.2">
      <c r="A77" s="12" t="s">
        <v>7</v>
      </c>
      <c r="B77" s="12" t="s">
        <v>215</v>
      </c>
      <c r="C77" s="12" t="s">
        <v>128</v>
      </c>
      <c r="D77" s="12" t="s">
        <v>127</v>
      </c>
      <c r="E77" s="12" t="s">
        <v>150</v>
      </c>
      <c r="F77" s="12">
        <v>0</v>
      </c>
      <c r="G77" s="12"/>
      <c r="H77" s="12"/>
      <c r="I77" s="12" t="s">
        <v>229</v>
      </c>
      <c r="J77" s="12" t="s">
        <v>233</v>
      </c>
      <c r="K77" s="12" t="s">
        <v>227</v>
      </c>
    </row>
    <row r="78" spans="1:11" ht="15" customHeight="1" x14ac:dyDescent="0.2">
      <c r="A78" s="12" t="s">
        <v>7</v>
      </c>
      <c r="B78" s="12" t="s">
        <v>215</v>
      </c>
      <c r="C78" s="12" t="s">
        <v>128</v>
      </c>
      <c r="D78" s="12" t="s">
        <v>127</v>
      </c>
      <c r="E78" s="12" t="s">
        <v>151</v>
      </c>
      <c r="F78" s="12">
        <v>0</v>
      </c>
      <c r="G78" s="12"/>
      <c r="H78" s="12"/>
      <c r="I78" s="12" t="s">
        <v>229</v>
      </c>
      <c r="J78" s="12" t="s">
        <v>233</v>
      </c>
      <c r="K78" s="12" t="s">
        <v>227</v>
      </c>
    </row>
    <row r="79" spans="1:11" ht="15" customHeight="1" x14ac:dyDescent="0.2">
      <c r="A79" s="12" t="s">
        <v>7</v>
      </c>
      <c r="B79" s="12" t="s">
        <v>230</v>
      </c>
      <c r="C79" s="12" t="s">
        <v>53</v>
      </c>
      <c r="D79" s="12" t="s">
        <v>12</v>
      </c>
      <c r="E79" s="12" t="s">
        <v>165</v>
      </c>
      <c r="F79" s="12">
        <v>2</v>
      </c>
      <c r="G79" s="12" t="s">
        <v>54</v>
      </c>
      <c r="H79" s="12" t="s">
        <v>55</v>
      </c>
      <c r="I79" s="12" t="s">
        <v>53</v>
      </c>
      <c r="J79" s="12" t="s">
        <v>233</v>
      </c>
      <c r="K79" s="12"/>
    </row>
    <row r="80" spans="1:11" ht="15" customHeight="1" x14ac:dyDescent="0.2">
      <c r="A80" s="12" t="s">
        <v>7</v>
      </c>
      <c r="B80" s="12" t="s">
        <v>230</v>
      </c>
      <c r="C80" s="12" t="s">
        <v>29</v>
      </c>
      <c r="D80" s="12" t="s">
        <v>11</v>
      </c>
      <c r="E80" s="12" t="s">
        <v>158</v>
      </c>
      <c r="F80" s="12">
        <v>2</v>
      </c>
      <c r="G80" s="12" t="s">
        <v>30</v>
      </c>
      <c r="H80" s="12" t="s">
        <v>31</v>
      </c>
      <c r="I80" s="12" t="s">
        <v>29</v>
      </c>
      <c r="J80" s="12" t="s">
        <v>233</v>
      </c>
      <c r="K80" s="12"/>
    </row>
    <row r="81" spans="1:11" ht="15" customHeight="1" x14ac:dyDescent="0.2">
      <c r="A81" s="12" t="s">
        <v>7</v>
      </c>
      <c r="B81" s="12" t="s">
        <v>230</v>
      </c>
      <c r="C81" s="12" t="s">
        <v>34</v>
      </c>
      <c r="D81" s="12" t="s">
        <v>11</v>
      </c>
      <c r="E81" s="12" t="s">
        <v>159</v>
      </c>
      <c r="F81" s="12">
        <v>2</v>
      </c>
      <c r="G81" s="12" t="s">
        <v>35</v>
      </c>
      <c r="H81" s="12" t="s">
        <v>36</v>
      </c>
      <c r="I81" s="12" t="s">
        <v>34</v>
      </c>
      <c r="J81" s="12" t="s">
        <v>233</v>
      </c>
      <c r="K81" s="12"/>
    </row>
    <row r="82" spans="1:11" ht="15" customHeight="1" x14ac:dyDescent="0.2">
      <c r="A82" s="12" t="s">
        <v>7</v>
      </c>
      <c r="B82" s="12" t="s">
        <v>230</v>
      </c>
      <c r="C82" s="12" t="s">
        <v>59</v>
      </c>
      <c r="D82" s="12" t="s">
        <v>12</v>
      </c>
      <c r="E82" s="12" t="s">
        <v>156</v>
      </c>
      <c r="F82" s="12">
        <v>2</v>
      </c>
      <c r="G82" s="12" t="s">
        <v>54</v>
      </c>
      <c r="H82" s="12" t="s">
        <v>60</v>
      </c>
      <c r="I82" s="12" t="s">
        <v>59</v>
      </c>
      <c r="J82" s="12" t="s">
        <v>233</v>
      </c>
      <c r="K82" s="12"/>
    </row>
    <row r="83" spans="1:11" ht="15" customHeight="1" x14ac:dyDescent="0.2">
      <c r="A83" s="12" t="s">
        <v>7</v>
      </c>
      <c r="B83" s="12" t="s">
        <v>230</v>
      </c>
      <c r="C83" s="12" t="s">
        <v>38</v>
      </c>
      <c r="D83" s="12" t="s">
        <v>11</v>
      </c>
      <c r="E83" s="12" t="s">
        <v>160</v>
      </c>
      <c r="F83" s="12">
        <v>2</v>
      </c>
      <c r="G83" s="12" t="s">
        <v>35</v>
      </c>
      <c r="H83" s="12" t="s">
        <v>39</v>
      </c>
      <c r="I83" s="12" t="s">
        <v>38</v>
      </c>
      <c r="J83" s="12" t="s">
        <v>233</v>
      </c>
      <c r="K83" s="12"/>
    </row>
    <row r="84" spans="1:11" ht="15" customHeight="1" x14ac:dyDescent="0.2">
      <c r="A84" s="12" t="s">
        <v>7</v>
      </c>
      <c r="B84" s="12" t="s">
        <v>230</v>
      </c>
      <c r="C84" s="12" t="s">
        <v>61</v>
      </c>
      <c r="D84" s="12" t="s">
        <v>12</v>
      </c>
      <c r="E84" s="12" t="s">
        <v>149</v>
      </c>
      <c r="F84" s="12">
        <v>2</v>
      </c>
      <c r="G84" s="12" t="s">
        <v>54</v>
      </c>
      <c r="H84" s="12" t="s">
        <v>62</v>
      </c>
      <c r="I84" s="12" t="s">
        <v>61</v>
      </c>
      <c r="J84" s="12" t="s">
        <v>233</v>
      </c>
      <c r="K84" s="12"/>
    </row>
    <row r="85" spans="1:11" ht="15" customHeight="1" x14ac:dyDescent="0.2">
      <c r="A85" s="12" t="s">
        <v>7</v>
      </c>
      <c r="B85" s="12" t="s">
        <v>230</v>
      </c>
      <c r="C85" s="12" t="s">
        <v>65</v>
      </c>
      <c r="D85" s="12" t="s">
        <v>12</v>
      </c>
      <c r="E85" s="12" t="s">
        <v>169</v>
      </c>
      <c r="F85" s="12">
        <v>2</v>
      </c>
      <c r="G85" s="12" t="s">
        <v>54</v>
      </c>
      <c r="H85" s="12" t="s">
        <v>66</v>
      </c>
      <c r="I85" s="12" t="s">
        <v>65</v>
      </c>
      <c r="J85" s="12" t="s">
        <v>233</v>
      </c>
      <c r="K85" s="12"/>
    </row>
    <row r="86" spans="1:11" ht="15" customHeight="1" x14ac:dyDescent="0.2">
      <c r="A86" s="12" t="s">
        <v>7</v>
      </c>
      <c r="B86" s="12" t="s">
        <v>230</v>
      </c>
      <c r="C86" s="12" t="s">
        <v>110</v>
      </c>
      <c r="D86" s="12" t="s">
        <v>13</v>
      </c>
      <c r="E86" s="12" t="s">
        <v>135</v>
      </c>
      <c r="F86" s="12">
        <v>2</v>
      </c>
      <c r="G86" s="12"/>
      <c r="H86" s="12"/>
      <c r="I86" s="12" t="s">
        <v>110</v>
      </c>
      <c r="J86" s="12" t="s">
        <v>233</v>
      </c>
      <c r="K86" s="12"/>
    </row>
    <row r="87" spans="1:11" ht="15" customHeight="1" x14ac:dyDescent="0.2">
      <c r="A87" s="12" t="s">
        <v>7</v>
      </c>
      <c r="B87" s="12" t="s">
        <v>230</v>
      </c>
      <c r="C87" s="12" t="s">
        <v>115</v>
      </c>
      <c r="D87" s="12" t="s">
        <v>14</v>
      </c>
      <c r="E87" s="12" t="s">
        <v>153</v>
      </c>
      <c r="F87" s="12">
        <v>1</v>
      </c>
      <c r="G87" s="12"/>
      <c r="H87" s="12"/>
      <c r="I87" s="12" t="s">
        <v>115</v>
      </c>
      <c r="J87" s="12" t="s">
        <v>233</v>
      </c>
      <c r="K87" s="12"/>
    </row>
    <row r="88" spans="1:11" ht="15" customHeight="1" x14ac:dyDescent="0.2">
      <c r="A88" s="12" t="s">
        <v>7</v>
      </c>
      <c r="B88" s="12" t="s">
        <v>230</v>
      </c>
      <c r="C88" s="12" t="s">
        <v>115</v>
      </c>
      <c r="D88" s="12" t="s">
        <v>14</v>
      </c>
      <c r="E88" s="12" t="s">
        <v>140</v>
      </c>
      <c r="F88" s="12">
        <v>1</v>
      </c>
      <c r="G88" s="12"/>
      <c r="H88" s="12"/>
      <c r="I88" s="12" t="s">
        <v>115</v>
      </c>
      <c r="J88" s="12" t="s">
        <v>233</v>
      </c>
      <c r="K88" s="12"/>
    </row>
    <row r="89" spans="1:11" ht="15" customHeight="1" x14ac:dyDescent="0.2">
      <c r="A89" s="12" t="s">
        <v>7</v>
      </c>
      <c r="B89" s="12" t="s">
        <v>230</v>
      </c>
      <c r="C89" s="12" t="s">
        <v>15</v>
      </c>
      <c r="D89" s="12" t="s">
        <v>15</v>
      </c>
      <c r="E89" s="12" t="s">
        <v>163</v>
      </c>
      <c r="F89" s="12">
        <v>2</v>
      </c>
      <c r="G89" s="12"/>
      <c r="H89" s="12"/>
      <c r="I89" s="12" t="s">
        <v>15</v>
      </c>
      <c r="J89" s="12" t="s">
        <v>233</v>
      </c>
      <c r="K89" s="12"/>
    </row>
    <row r="90" spans="1:11" ht="15" customHeight="1" x14ac:dyDescent="0.2">
      <c r="A90" s="12" t="s">
        <v>7</v>
      </c>
      <c r="B90" s="12" t="s">
        <v>230</v>
      </c>
      <c r="C90" s="12" t="s">
        <v>112</v>
      </c>
      <c r="D90" s="12" t="s">
        <v>13</v>
      </c>
      <c r="E90" s="12" t="s">
        <v>151</v>
      </c>
      <c r="F90" s="12">
        <v>1</v>
      </c>
      <c r="G90" s="12"/>
      <c r="H90" s="12"/>
      <c r="I90" s="12" t="s">
        <v>112</v>
      </c>
      <c r="J90" s="12" t="s">
        <v>233</v>
      </c>
      <c r="K90" s="12"/>
    </row>
    <row r="91" spans="1:11" ht="15" customHeight="1" x14ac:dyDescent="0.2">
      <c r="A91" s="12" t="s">
        <v>7</v>
      </c>
      <c r="B91" s="12" t="s">
        <v>230</v>
      </c>
      <c r="C91" s="12" t="s">
        <v>113</v>
      </c>
      <c r="D91" s="12" t="s">
        <v>13</v>
      </c>
      <c r="E91" s="12" t="s">
        <v>139</v>
      </c>
      <c r="F91" s="12">
        <v>2</v>
      </c>
      <c r="G91" s="12"/>
      <c r="H91" s="12"/>
      <c r="I91" s="12" t="s">
        <v>113</v>
      </c>
      <c r="J91" s="12" t="s">
        <v>233</v>
      </c>
      <c r="K91" s="12"/>
    </row>
    <row r="92" spans="1:11" ht="15" customHeight="1" x14ac:dyDescent="0.2">
      <c r="A92" s="12" t="s">
        <v>7</v>
      </c>
      <c r="B92" s="12" t="s">
        <v>232</v>
      </c>
      <c r="C92" s="12" t="s">
        <v>29</v>
      </c>
      <c r="D92" s="12" t="s">
        <v>11</v>
      </c>
      <c r="E92" s="12" t="s">
        <v>158</v>
      </c>
      <c r="F92" s="12">
        <v>1</v>
      </c>
      <c r="G92" s="12" t="s">
        <v>30</v>
      </c>
      <c r="H92" s="12" t="s">
        <v>31</v>
      </c>
      <c r="I92" s="12" t="s">
        <v>29</v>
      </c>
      <c r="J92" s="12" t="s">
        <v>233</v>
      </c>
      <c r="K92" s="12"/>
    </row>
    <row r="93" spans="1:11" ht="15" customHeight="1" x14ac:dyDescent="0.2">
      <c r="A93" s="12" t="s">
        <v>7</v>
      </c>
      <c r="B93" s="12" t="s">
        <v>232</v>
      </c>
      <c r="C93" s="12" t="s">
        <v>15</v>
      </c>
      <c r="D93" s="12" t="s">
        <v>15</v>
      </c>
      <c r="E93" s="12" t="s">
        <v>163</v>
      </c>
      <c r="F93" s="12">
        <v>2</v>
      </c>
      <c r="G93" s="12"/>
      <c r="H93" s="12"/>
      <c r="I93" s="12" t="s">
        <v>15</v>
      </c>
      <c r="J93" s="12" t="s">
        <v>233</v>
      </c>
      <c r="K93" s="12"/>
    </row>
    <row r="94" spans="1:11" ht="15" customHeight="1" x14ac:dyDescent="0.2">
      <c r="A94" s="12" t="s">
        <v>7</v>
      </c>
      <c r="B94" s="12" t="s">
        <v>232</v>
      </c>
      <c r="C94" s="12" t="s">
        <v>15</v>
      </c>
      <c r="D94" s="12" t="s">
        <v>15</v>
      </c>
      <c r="E94" s="12" t="s">
        <v>151</v>
      </c>
      <c r="F94" s="12">
        <v>0</v>
      </c>
      <c r="G94" s="12"/>
      <c r="H94" s="12"/>
      <c r="I94" s="12" t="s">
        <v>15</v>
      </c>
      <c r="J94" s="12" t="s">
        <v>233</v>
      </c>
      <c r="K94" s="12"/>
    </row>
    <row r="95" spans="1:11" ht="15" customHeight="1" x14ac:dyDescent="0.2">
      <c r="A95" s="12" t="s">
        <v>8</v>
      </c>
      <c r="B95" s="12" t="s">
        <v>215</v>
      </c>
      <c r="C95" s="12" t="s">
        <v>53</v>
      </c>
      <c r="D95" s="12" t="s">
        <v>12</v>
      </c>
      <c r="E95" s="12" t="s">
        <v>156</v>
      </c>
      <c r="F95" s="12">
        <v>2</v>
      </c>
      <c r="G95" s="12" t="s">
        <v>54</v>
      </c>
      <c r="H95" s="12" t="s">
        <v>55</v>
      </c>
      <c r="I95" s="12" t="s">
        <v>234</v>
      </c>
      <c r="J95" s="12" t="s">
        <v>235</v>
      </c>
      <c r="K95" s="12"/>
    </row>
    <row r="96" spans="1:11" ht="15" customHeight="1" x14ac:dyDescent="0.2">
      <c r="A96" s="12" t="s">
        <v>8</v>
      </c>
      <c r="B96" s="12" t="s">
        <v>215</v>
      </c>
      <c r="C96" s="12" t="s">
        <v>120</v>
      </c>
      <c r="D96" s="12" t="s">
        <v>17</v>
      </c>
      <c r="E96" s="12" t="s">
        <v>144</v>
      </c>
      <c r="F96" s="12">
        <v>0</v>
      </c>
      <c r="G96" s="12"/>
      <c r="H96" s="12"/>
      <c r="I96" s="12" t="s">
        <v>236</v>
      </c>
      <c r="J96" s="12" t="s">
        <v>235</v>
      </c>
      <c r="K96" s="12" t="s">
        <v>227</v>
      </c>
    </row>
    <row r="97" spans="1:11" ht="15" customHeight="1" x14ac:dyDescent="0.2">
      <c r="A97" s="12" t="s">
        <v>8</v>
      </c>
      <c r="B97" s="12" t="s">
        <v>215</v>
      </c>
      <c r="C97" s="12" t="s">
        <v>15</v>
      </c>
      <c r="D97" s="12" t="s">
        <v>15</v>
      </c>
      <c r="E97" s="12" t="s">
        <v>157</v>
      </c>
      <c r="F97" s="12">
        <v>3</v>
      </c>
      <c r="G97" s="12"/>
      <c r="H97" s="12"/>
      <c r="I97" s="12" t="s">
        <v>15</v>
      </c>
      <c r="J97" s="12" t="s">
        <v>235</v>
      </c>
      <c r="K97" s="12"/>
    </row>
    <row r="98" spans="1:11" ht="15" customHeight="1" x14ac:dyDescent="0.2">
      <c r="A98" s="12" t="s">
        <v>8</v>
      </c>
      <c r="B98" s="12" t="s">
        <v>215</v>
      </c>
      <c r="C98" s="12" t="s">
        <v>15</v>
      </c>
      <c r="D98" s="12" t="s">
        <v>15</v>
      </c>
      <c r="E98" s="12" t="s">
        <v>163</v>
      </c>
      <c r="F98" s="12">
        <v>2</v>
      </c>
      <c r="G98" s="12"/>
      <c r="H98" s="12"/>
      <c r="I98" s="12" t="s">
        <v>15</v>
      </c>
      <c r="J98" s="12" t="s">
        <v>235</v>
      </c>
      <c r="K98" s="12"/>
    </row>
    <row r="99" spans="1:11" ht="15" customHeight="1" x14ac:dyDescent="0.2">
      <c r="A99" s="12" t="s">
        <v>8</v>
      </c>
      <c r="B99" s="12" t="s">
        <v>215</v>
      </c>
      <c r="C99" s="12" t="s">
        <v>128</v>
      </c>
      <c r="D99" s="12" t="s">
        <v>127</v>
      </c>
      <c r="E99" s="12" t="s">
        <v>153</v>
      </c>
      <c r="F99" s="12">
        <v>0</v>
      </c>
      <c r="G99" s="12"/>
      <c r="H99" s="12"/>
      <c r="I99" s="12" t="s">
        <v>229</v>
      </c>
      <c r="J99" s="12" t="s">
        <v>235</v>
      </c>
      <c r="K99" s="12" t="s">
        <v>227</v>
      </c>
    </row>
    <row r="100" spans="1:11" ht="15" customHeight="1" x14ac:dyDescent="0.2">
      <c r="A100" s="12" t="s">
        <v>8</v>
      </c>
      <c r="B100" s="12" t="s">
        <v>215</v>
      </c>
      <c r="C100" s="12" t="s">
        <v>128</v>
      </c>
      <c r="D100" s="12" t="s">
        <v>127</v>
      </c>
      <c r="E100" s="12" t="s">
        <v>140</v>
      </c>
      <c r="F100" s="12">
        <v>0</v>
      </c>
      <c r="G100" s="12"/>
      <c r="H100" s="12"/>
      <c r="I100" s="12" t="s">
        <v>229</v>
      </c>
      <c r="J100" s="12" t="s">
        <v>235</v>
      </c>
      <c r="K100" s="12" t="s">
        <v>227</v>
      </c>
    </row>
    <row r="101" spans="1:11" ht="15" customHeight="1" x14ac:dyDescent="0.2">
      <c r="A101" s="12" t="s">
        <v>8</v>
      </c>
      <c r="B101" s="12" t="s">
        <v>230</v>
      </c>
      <c r="C101" s="12" t="s">
        <v>15</v>
      </c>
      <c r="D101" s="12" t="s">
        <v>15</v>
      </c>
      <c r="E101" s="12" t="s">
        <v>163</v>
      </c>
      <c r="F101" s="12">
        <v>2</v>
      </c>
      <c r="G101" s="12"/>
      <c r="H101" s="12"/>
      <c r="I101" s="12" t="s">
        <v>15</v>
      </c>
      <c r="J101" s="12" t="s">
        <v>235</v>
      </c>
      <c r="K101" s="12"/>
    </row>
    <row r="102" spans="1:11" ht="15" customHeight="1" x14ac:dyDescent="0.2">
      <c r="A102" s="12" t="s">
        <v>8</v>
      </c>
      <c r="B102" s="12" t="s">
        <v>232</v>
      </c>
      <c r="C102" s="12" t="s">
        <v>15</v>
      </c>
      <c r="D102" s="12" t="s">
        <v>15</v>
      </c>
      <c r="E102" s="12" t="s">
        <v>163</v>
      </c>
      <c r="F102" s="12">
        <v>2</v>
      </c>
      <c r="G102" s="12"/>
      <c r="H102" s="12"/>
      <c r="I102" s="12" t="s">
        <v>15</v>
      </c>
      <c r="J102" s="12" t="s">
        <v>235</v>
      </c>
      <c r="K102" s="12"/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9</vt:i4>
      </vt:variant>
    </vt:vector>
  </HeadingPairs>
  <TitlesOfParts>
    <vt:vector size="9" baseType="lpstr">
      <vt:lpstr>Resumo</vt:lpstr>
      <vt:lpstr>Orgânicos</vt:lpstr>
      <vt:lpstr>Indiferenciados</vt:lpstr>
      <vt:lpstr>Recicláveis</vt:lpstr>
      <vt:lpstr>Volumosos</vt:lpstr>
      <vt:lpstr>Outros serviços</vt:lpstr>
      <vt:lpstr>Viaturas</vt:lpstr>
      <vt:lpstr>Alertas</vt:lpstr>
      <vt:lpstr>Base_Dados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Lucas Nascimento</dc:creator>
  <cp:keywords/>
  <dc:description/>
  <cp:lastModifiedBy>Lucas Nascimento</cp:lastModifiedBy>
  <cp:revision>1</cp:revision>
  <dcterms:created xsi:type="dcterms:W3CDTF">2026-09-22T21:53:00Z</dcterms:created>
  <dcterms:modified xsi:type="dcterms:W3CDTF">2026-09-23T15:20:15Z</dcterms:modified>
  <cp:category/>
  <dc:language>en-US</dc:language>
</cp:coreProperties>
</file>